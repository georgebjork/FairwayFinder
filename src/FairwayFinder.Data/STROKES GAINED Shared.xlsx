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5"/>
    <sheet state="visible" name="HOW TO USE" sheetId="2" r:id="rId6"/>
    <sheet state="visible" name="FULL EXAMPLE" sheetId="3" r:id="rId7"/>
    <sheet state="visible" name="REFERENCED CHARTS" sheetId="4" r:id="rId8"/>
    <sheet state="hidden" name="T - 418" sheetId="5" r:id="rId9"/>
    <sheet state="hidden" name="20220415 - T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tc={050b3a14-2831-404d-a2df-6f506131605d}</author>
    <author>tc={0609958a-02a6-4356-924c-16e3ebb57956}</author>
    <author>tc={061a7fc5-7e75-41a2-9b0f-c438680f6e45}</author>
    <author>tc={0d85f0b6-12d8-40f1-8d7b-2bc0b66afd6b}</author>
    <author>tc={0e12f5d3-d204-45d8-80dc-fa0226ae3b48}</author>
    <author>tc={115bf870-3089-4af1-ab77-86f4ad0e2284}</author>
    <author>tc={186f45ca-3eb3-42cd-9931-0ce2939e3bd2}</author>
    <author>tc={1a12dea1-7771-482a-80f1-f5450884f3a5}</author>
    <author>tc={1b665ebc-2e0e-4690-8df9-95e4c0f9acfa}</author>
    <author>tc={1b80c7b1-09c8-4cda-ad6b-60021a56cd7c}</author>
    <author>tc={225303d2-c796-498e-b04c-eb633914e96b}</author>
    <author>tc={253e43d4-1fc0-4c7e-99af-976a9dc70d16}</author>
    <author>tc={2549702b-f9bb-4306-b24b-520929bba051}</author>
    <author>tc={28f5d2b7-b322-43c6-83ab-23bd725a7132}</author>
    <author>tc={2a266ec7-7e9d-409b-872f-a2ec05dfae59}</author>
    <author>tc={2eb4b59b-1627-44aa-9478-0e01101e6542}</author>
    <author>tc={2ec6729a-8ef1-4365-890d-d8128ac50c28}</author>
    <author>tc={2f12c772-0a5f-47ee-949c-920d87920199}</author>
    <author>tc={3815fd61-751f-49c6-9569-ac6a13a6538a}</author>
    <author>tc={3c7332d2-e058-478f-b099-fa29d0124946}</author>
    <author>tc={42b72c37-421e-42f0-9e34-23deff82f7bf}</author>
    <author>tc={45af6764-84a8-44d6-af7a-35ba0ce98bb0}</author>
    <author>tc={477fc236-a31a-4a00-ab89-f5a49649aa5d}</author>
    <author>tc={4cd466a5-ec32-40da-975f-7d87e0c52f88}</author>
    <author>tc={4d144d62-9d10-4470-b9e0-3c8a93e2d871}</author>
    <author>tc={4e027466-1dba-4ba4-ae90-7e1016f198ce}</author>
    <author>tc={4fc029dc-d71c-4b68-86e4-ee428dd5314d}</author>
    <author>tc={525a3685-d8e4-4c5c-808b-8c6be0c2a311}</author>
    <author>tc={582da25a-29ae-4b41-bbbd-f014a4528eac}</author>
    <author>tc={5837dc19-eece-4fd5-adc0-891274be6a83}</author>
    <author>tc={5a8d0962-89ac-4f5b-8d17-cb2edf8c363b}</author>
    <author>tc={5c5efed1-81ab-43b8-9fd7-c76325346d7d}</author>
    <author>tc={5efa175a-088e-424b-a3ab-0944aeaf2f6a}</author>
    <author>tc={600825ac-b848-40eb-8727-d2284029ad20}</author>
    <author>tc={624398de-e34a-4974-a7ce-fece98530992}</author>
    <author>tc={6282b40e-9a49-44f5-a70f-ea8d314716d8}</author>
    <author>tc={675e1d57-29f2-49f1-82b5-f5cb586bb9b7}</author>
    <author>tc={69ece69b-f23d-480e-a660-69fcfd736f61}</author>
    <author>tc={6cb86fd6-8bf7-414e-9751-8f23ac21dc99}</author>
    <author>tc={6d3df087-da09-4a9e-a07f-b773ee3f7f47}</author>
    <author>tc={6d8ac4b9-fe1b-461d-89db-435e42cc6a7a}</author>
    <author>tc={6f7e4bf1-1f37-4b95-9897-8009a33211b2}</author>
    <author>tc={6f986d6b-6abb-4708-8dc6-0eb93d1907c3}</author>
    <author>tc={72dea6f4-d57f-41de-bf47-40981d2432f8}</author>
    <author>tc={75d34f5e-999f-4737-85f0-cd3e0a5b5bea}</author>
    <author>tc={769e9e37-afe8-4801-8271-510719a07149}</author>
    <author>tc={77e5848b-ba4c-42a1-bd4d-990303d45ed9}</author>
    <author>tc={7b8d1076-f27a-4a03-953b-bb135eb7d524}</author>
    <author>tc={7ec89cf7-39f2-4a8c-87e7-f4c55922e97f}</author>
    <author>tc={7edf3862-f331-4f2b-b9ab-43849bc67a6a}</author>
    <author>tc={837ab519-1863-45ea-a2ce-f4847c304b1b}</author>
    <author>tc={83e3f978-9874-4d7a-abe2-d06a8a36d6be}</author>
    <author>tc={863ca613-93aa-4b9a-a4ab-e37316b915f3}</author>
    <author>tc={869c48cc-6e62-4738-acef-9b4104beb1ab}</author>
    <author>tc={8911e1d3-4243-4c2e-b6e4-936d7039c0bd}</author>
    <author>tc={8994b4a1-54b4-4835-b388-47cfae192f16}</author>
    <author>tc={8d28653c-1397-4fc0-9f1d-349c8f29828f}</author>
    <author>tc={8ddc1fd1-ced6-44e3-b5bb-9c53a19cc758}</author>
    <author>tc={8f9904e3-3a2f-456d-9e02-4d07af2d9d80}</author>
    <author>tc={96c0254d-c76b-437a-830f-94fb028826d1}</author>
    <author>tc={9bcfb418-6fe5-470c-89e4-3e2d4de484f7}</author>
    <author>tc={9bf193e0-c5ef-4576-8a1e-98443009097c}</author>
    <author>tc={9d217bb3-5de5-464e-9d78-cc7098664d90}</author>
    <author>tc={9d6786ac-dd16-477e-bd03-8bdc94642e89}</author>
    <author>tc={a1dcda28-a383-4bc1-aae7-048582b96d88}</author>
    <author>tc={a1fed4db-45d4-4ecb-b456-880f0f8f0d0f}</author>
    <author>tc={a5a6f563-d029-4e8f-a569-42bdcfec713a}</author>
    <author>tc={a84beabe-742d-4a80-a6f9-55fd663e96a7}</author>
    <author>tc={a9fd67bd-1fbe-43e8-99f5-dbc06f766343}</author>
    <author>tc={b13713d1-8059-4eaf-b087-11385da99c89}</author>
    <author>tc={b1574a4f-ce58-4aae-8c8f-a0eb8bb4b482}</author>
    <author>tc={b27a1290-2d14-432b-aefb-426e5bc1ac1f}</author>
    <author>tc={b9ee2b69-e028-4c8c-b6d2-a61967577190}</author>
    <author>tc={bf7bc013-4b01-425e-b4ba-3c2480c524c6}</author>
    <author>tc={c3af740a-8b30-4fa1-b1bb-ff5eb321b7ad}</author>
    <author>tc={c75088ae-a0ba-4029-97ea-8e970bcde462}</author>
    <author>tc={c78378b6-b958-46ae-8134-3e2cfcbbeeed}</author>
    <author>tc={c8c4407f-3933-490d-9572-272c341bb7f9}</author>
    <author>tc={ca2a9fd8-89d6-428e-bf54-9096b2638e0f}</author>
    <author>tc={ca569f2e-a30d-4e07-92e1-487c00e608d0}</author>
    <author>tc={d074bb3d-2a43-40d0-8acd-fc7129ec5154}</author>
    <author>tc={d1679ef5-7bc9-4cf1-a9d0-aa71da5798f7}</author>
    <author>tc={d177b97b-f901-4799-a205-e4ab6f9a461d}</author>
    <author>tc={d2fb3fd3-cd04-4372-a17d-9fc29f94aeb7}</author>
    <author>tc={d40c0340-a550-4957-9295-f77e754d6b86}</author>
    <author>tc={d96f5b4b-4530-4be9-a0c0-8890a2699fc7}</author>
    <author>tc={da31270c-4091-4c83-bffb-f22899fc2b33}</author>
    <author>tc={dcdb5662-0976-4aa9-8f0e-277c8bc5dc0c}</author>
    <author>tc={dcf7f88b-e3f7-431b-bddf-7a4cdc39366a}</author>
    <author>tc={de6e77b4-11a6-4bb0-9654-7925cc93b992}</author>
    <author>tc={df01fa8f-5483-4c05-a9d8-c412406715a5}</author>
    <author>tc={e2873a8f-0bf3-4877-b5b8-2323657db556}</author>
    <author>tc={e39d925f-bd47-44a2-9269-8f54449d249d}</author>
    <author>tc={e4995831-48c5-4e17-99fa-da6540171567}</author>
    <author>tc={e6a4031c-cbca-4ad6-bfbe-5665fc2e5e3d}</author>
    <author>tc={e7ba4528-3b38-446d-b838-2547c39955c4}</author>
    <author>tc={e7fe1cbd-f006-4b71-811a-281057ffae43}</author>
    <author>tc={e87891d7-07d0-4fe2-8208-c43372bbdfaf}</author>
    <author>tc={e9c93c65-5a63-4494-adb8-f8f816bebb37}</author>
    <author>tc={e9d14e4e-9ac8-4443-8117-694bc1630a2c}</author>
    <author>tc={ef0cf2e6-a105-4d82-8f51-b714cfda488e}</author>
    <author>tc={f2a5c79b-5f5c-415b-9286-e563e64cb98f}</author>
    <author>tc={f3def043-5fa4-40ee-84af-7e63e21b3da4}</author>
    <author>tc={f7e32961-299c-4921-863a-0886516caedb}</author>
    <author>tc={f7f60f2b-4e48-4dc5-adfc-97c3dba5675b}</author>
    <author>tc={fcd8124b-080b-4003-9d66-de33ef61d522}</author>
  </authors>
  <commentList>
    <comment authorId="0" ref="R44">
      <text>
        <t xml:space="preserve">NO FEEL DISTANCE CONTROL WITH WEDGE</t>
      </text>
    </comment>
    <comment authorId="0" ref="R24">
      <text>
        <t xml:space="preserve">9 FOOT PUTT, MISREAD</t>
      </text>
    </comment>
    <comment authorId="1" xr:uid="{050b3a14-2831-404d-a2df-6f506131605d}" ref="V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500
</t>
      </text>
    </comment>
    <comment authorId="2" xr:uid="{0609958a-02a6-4356-924c-16e3ebb57956}" ref="C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400
Reply:
	450
</t>
      </text>
    </comment>
    <comment authorId="3" xr:uid="{061a7fc5-7e75-41a2-9b0f-c438680f6e45}" ref="H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
</t>
      </text>
    </comment>
    <comment authorId="4" xr:uid="{0d85f0b6-12d8-40f1-8d7b-2bc0b66afd6b}" ref="AB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PENALTY
</t>
      </text>
    </comment>
    <comment authorId="5" xr:uid="{0e12f5d3-d204-45d8-80dc-fa0226ae3b48}" ref="H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
</t>
      </text>
    </comment>
    <comment authorId="6" xr:uid="{115bf870-3089-4af1-ab77-86f4ad0e2284}" ref="V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380
</t>
      </text>
    </comment>
    <comment authorId="7" xr:uid="{186f45ca-3eb3-42cd-9931-0ce2939e3bd2}" ref="D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176
</t>
      </text>
    </comment>
    <comment authorId="8" xr:uid="{1a12dea1-7771-482a-80f1-f5450884f3a5}" ref="D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85
</t>
      </text>
    </comment>
    <comment authorId="9" xr:uid="{1b665ebc-2e0e-4690-8df9-95e4c0f9acfa}" ref="H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
</t>
      </text>
    </comment>
    <comment authorId="10" xr:uid="{1b80c7b1-09c8-4cda-ad6b-60021a56cd7c}" ref="D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218
</t>
      </text>
    </comment>
    <comment authorId="11" xr:uid="{225303d2-c796-498e-b04c-eb633914e96b}" ref="D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love this thanks so much
Reply:
	200
Reply:
	Glad to hear it!  I've enjoyed it as well.
Reply:
	I can't copy and paste the formula over please help
Reply:
	Sorry took so long.  You figure it out?
</t>
      </text>
    </comment>
    <comment authorId="12" xr:uid="{253e43d4-1fc0-4c7e-99af-976a9dc70d16}" ref="Z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
</t>
      </text>
    </comment>
    <comment authorId="13" xr:uid="{2549702b-f9bb-4306-b24b-520929bba051}" ref="C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340
</t>
      </text>
    </comment>
    <comment authorId="14" xr:uid="{28f5d2b7-b322-43c6-83ab-23bd725a7132}" ref="AA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
</t>
      </text>
    </comment>
    <comment authorId="15" xr:uid="{2a266ec7-7e9d-409b-872f-a2ec05dfae59}" ref="I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6" xr:uid="{2eb4b59b-1627-44aa-9478-0e01101e6542}" ref="AA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
</t>
      </text>
    </comment>
    <comment authorId="17" xr:uid="{2ec6729a-8ef1-4365-890d-d8128ac50c28}" ref="AA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18" xr:uid="{2f12c772-0a5f-47ee-949c-920d87920199}" ref="H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
</t>
      </text>
    </comment>
    <comment authorId="19" xr:uid="{3815fd61-751f-49c6-9569-ac6a13a6538a}" ref="H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
</t>
      </text>
    </comment>
    <comment authorId="20" xr:uid="{3c7332d2-e058-478f-b099-fa29d0124946}" ref="W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90
</t>
      </text>
    </comment>
    <comment authorId="21" xr:uid="{42b72c37-421e-42f0-9e34-23deff82f7bf}" ref="C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220
</t>
      </text>
    </comment>
    <comment authorId="22" xr:uid="{45af6764-84a8-44d6-af7a-35ba0ce98bb0}" ref="C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312
</t>
      </text>
    </comment>
    <comment authorId="23" xr:uid="{477fc236-a31a-4a00-ab89-f5a49649aa5d}" ref="H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
</t>
      </text>
    </comment>
    <comment authorId="24" xr:uid="{4cd466a5-ec32-40da-975f-7d87e0c52f88}" ref="C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190
</t>
      </text>
    </comment>
    <comment authorId="25" xr:uid="{4d144d62-9d10-4470-b9e0-3c8a93e2d871}" ref="D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167
</t>
      </text>
    </comment>
    <comment authorId="26" xr:uid="{4e027466-1dba-4ba4-ae90-7e1016f198ce}" ref="D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75
</t>
      </text>
    </comment>
    <comment authorId="27" xr:uid="{4fc029dc-d71c-4b68-86e4-ee428dd5314d}" ref="C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390
</t>
      </text>
    </comment>
    <comment authorId="28" xr:uid="{525a3685-d8e4-4c5c-808b-8c6be0c2a311}" ref="C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363
Reply:
	335
</t>
      </text>
    </comment>
    <comment authorId="29" xr:uid="{582da25a-29ae-4b41-bbbd-f014a4528eac}" ref="C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400
</t>
      </text>
    </comment>
    <comment authorId="30" xr:uid="{5837dc19-eece-4fd5-adc0-891274be6a83}" ref="D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300
</t>
      </text>
    </comment>
    <comment authorId="31" xr:uid="{5a8d0962-89ac-4f5b-8d17-cb2edf8c363b}" ref="V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315
</t>
      </text>
    </comment>
    <comment authorId="32" xr:uid="{5c5efed1-81ab-43b8-9fd7-c76325346d7d}" ref="V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200
</t>
      </text>
    </comment>
    <comment authorId="33" xr:uid="{5efa175a-088e-424b-a3ab-0944aeaf2f6a}" ref="V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450
</t>
      </text>
    </comment>
    <comment authorId="34" xr:uid="{600825ac-b848-40eb-8727-d2284029ad20}" ref="W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180
</t>
      </text>
    </comment>
    <comment authorId="35" xr:uid="{624398de-e34a-4974-a7ce-fece98530992}" ref="AA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
</t>
      </text>
    </comment>
    <comment authorId="36" xr:uid="{6282b40e-9a49-44f5-a70f-ea8d314716d8}" ref="D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115
</t>
      </text>
    </comment>
    <comment authorId="37" xr:uid="{675e1d57-29f2-49f1-82b5-f5cb586bb9b7}" ref="C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436
</t>
      </text>
    </comment>
    <comment authorId="38" xr:uid="{69ece69b-f23d-480e-a660-69fcfd736f61}" ref="W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75
</t>
      </text>
    </comment>
    <comment authorId="39" xr:uid="{6cb86fd6-8bf7-414e-9751-8f23ac21dc99}" ref="H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
</t>
      </text>
    </comment>
    <comment authorId="40" xr:uid="{6d3df087-da09-4a9e-a07f-b773ee3f7f47}" ref="E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130
</t>
      </text>
    </comment>
    <comment authorId="41" xr:uid="{6d8ac4b9-fe1b-461d-89db-435e42cc6a7a}" ref="AA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
</t>
      </text>
    </comment>
    <comment authorId="42" xr:uid="{6f7e4bf1-1f37-4b95-9897-8009a33211b2}" ref="W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
</t>
      </text>
    </comment>
    <comment authorId="43" xr:uid="{6f986d6b-6abb-4708-8dc6-0eb93d1907c3}" ref="AA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
</t>
      </text>
    </comment>
    <comment authorId="44" xr:uid="{72dea6f4-d57f-41de-bf47-40981d2432f8}" ref="C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560
</t>
      </text>
    </comment>
    <comment authorId="45" xr:uid="{75d34f5e-999f-4737-85f0-cd3e0a5b5bea}" ref="C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560
</t>
      </text>
    </comment>
    <comment authorId="46" xr:uid="{769e9e37-afe8-4801-8271-510719a07149}" ref="B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200
</t>
      </text>
    </comment>
    <comment authorId="47" xr:uid="{77e5848b-ba4c-42a1-bd4d-990303d45ed9}" ref="H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48" xr:uid="{7b8d1076-f27a-4a03-953b-bb135eb7d524}" ref="Y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160
</t>
      </text>
    </comment>
    <comment authorId="49" xr:uid="{7ec89cf7-39f2-4a8c-87e7-f4c55922e97f}" ref="I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50" xr:uid="{7edf3862-f331-4f2b-b9ab-43849bc67a6a}" ref="H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51" xr:uid="{837ab519-1863-45ea-a2ce-f4847c304b1b}" ref="H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
</t>
      </text>
    </comment>
    <comment authorId="52" xr:uid="{83e3f978-9874-4d7a-abe2-d06a8a36d6be}" ref="H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
</t>
      </text>
    </comment>
    <comment authorId="53" xr:uid="{863ca613-93aa-4b9a-a4ab-e37316b915f3}" ref="W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330
</t>
      </text>
    </comment>
    <comment authorId="54" xr:uid="{869c48cc-6e62-4738-acef-9b4104beb1ab}" ref="Z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
</t>
      </text>
    </comment>
    <comment authorId="55" xr:uid="{8911e1d3-4243-4c2e-b6e4-936d7039c0bd}" ref="D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Zzz
</t>
      </text>
    </comment>
    <comment authorId="56" xr:uid="{8994b4a1-54b4-4835-b388-47cfae192f16}" ref="AA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
</t>
      </text>
    </comment>
    <comment authorId="57" xr:uid="{8d28653c-1397-4fc0-9f1d-349c8f29828f}" ref="AB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58" xr:uid="{8ddc1fd1-ced6-44e3-b5bb-9c53a19cc758}" ref="X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40
</t>
      </text>
    </comment>
    <comment authorId="59" xr:uid="{8f9904e3-3a2f-456d-9e02-4d07af2d9d80}" ref="AA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
</t>
      </text>
    </comment>
    <comment authorId="60" xr:uid="{96c0254d-c76b-437a-830f-94fb028826d1}" ref="AA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
</t>
      </text>
    </comment>
    <comment authorId="61" xr:uid="{9bcfb418-6fe5-470c-89e4-3e2d4de484f7}" ref="V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392
</t>
      </text>
    </comment>
    <comment authorId="62" xr:uid="{9bf193e0-c5ef-4576-8a1e-98443009097c}" ref="D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290
</t>
      </text>
    </comment>
    <comment authorId="63" xr:uid="{9d217bb3-5de5-464e-9d78-cc7098664d90}" ref="C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440
</t>
      </text>
    </comment>
    <comment authorId="64" xr:uid="{9d6786ac-dd16-477e-bd03-8bdc94642e89}" ref="AB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65" xr:uid="{a1dcda28-a383-4bc1-aae7-048582b96d88}" ref="AA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
</t>
      </text>
    </comment>
    <comment authorId="66" xr:uid="{a1fed4db-45d4-4ecb-b456-880f0f8f0d0f}" ref="C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265
</t>
      </text>
    </comment>
    <comment authorId="67" xr:uid="{a5a6f563-d029-4e8f-a569-42bdcfec713a}" ref="AA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68" xr:uid="{a84beabe-742d-4a80-a6f9-55fd663e96a7}" ref="AA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
</t>
      </text>
    </comment>
    <comment authorId="69" xr:uid="{a9fd67bd-1fbe-43e8-99f5-dbc06f766343}" ref="I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70" xr:uid="{b13713d1-8059-4eaf-b087-11385da99c89}" ref="W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125
</t>
      </text>
    </comment>
    <comment authorId="71" xr:uid="{b1574a4f-ce58-4aae-8c8f-a0eb8bb4b482}" ref="AB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  <comment authorId="72" xr:uid="{b27a1290-2d14-432b-aefb-426e5bc1ac1f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73" xr:uid="{b9ee2b69-e028-4c8c-b6d2-a61967577190}" ref="Y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
</t>
      </text>
    </comment>
    <comment authorId="74" xr:uid="{bf7bc013-4b01-425e-b4ba-3c2480c524c6}" ref="V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195
</t>
      </text>
    </comment>
    <comment authorId="75" xr:uid="{c3af740a-8b30-4fa1-b1bb-ff5eb321b7ad}" ref="C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370
Reply:
	363
</t>
      </text>
    </comment>
    <comment authorId="76" xr:uid="{c75088ae-a0ba-4029-97ea-8e970bcde462}" ref="V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580
</t>
      </text>
    </comment>
    <comment authorId="77" xr:uid="{c78378b6-b958-46ae-8134-3e2cfcbbeeed}" ref="C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300
</t>
      </text>
    </comment>
    <comment authorId="78" xr:uid="{c8c4407f-3933-490d-9572-272c341bb7f9}" ref="Y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
</t>
      </text>
    </comment>
    <comment authorId="79" xr:uid="{ca2a9fd8-89d6-428e-bf54-9096b2638e0f}" ref="C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550
Reply:
	Marked as resolved
Reply:
	Re-opened
Reply:
	Marked as resolved
Reply:
	Re-opened
</t>
      </text>
    </comment>
    <comment authorId="80" xr:uid="{ca569f2e-a30d-4e07-92e1-487c00e608d0}" ref="D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290
</t>
      </text>
    </comment>
    <comment authorId="81" xr:uid="{d074bb3d-2a43-40d0-8acd-fc7129ec5154}" ref="H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
</t>
      </text>
    </comment>
    <comment authorId="82" xr:uid="{d1679ef5-7bc9-4cf1-a9d0-aa71da5798f7}" ref="AA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
</t>
      </text>
    </comment>
    <comment authorId="83" xr:uid="{d177b97b-f901-4799-a205-e4ab6f9a461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Hey everyone I have changed the link so that everyone can comment here on the sheet with any questions or suggestions!
Reply:
	Marked as resolved
Reply:
	Re-opened
Reply:
	Hi Ryan, thanks for putting this together. It's works great. 
I just have a quick question. How do you manage where you've had to hit 3 approach shots? 
For example yesterday I played a par 5. Mishit my second shot and ended up needing 3 'approach' shots to make it to the green. How would you capture that?
Reply:
	Hey man. Sorry for the late reply. In that situation I would just put a 1 in the penalty column. It will then calculate strokes gained correctly, and no info is lost.
</t>
      </text>
    </comment>
    <comment authorId="84" xr:uid="{d2fb3fd3-cd04-4372-a17d-9fc29f94aeb7}" ref="H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
</t>
      </text>
    </comment>
    <comment authorId="85" xr:uid="{d40c0340-a550-4957-9295-f77e754d6b86}" ref="D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95
</t>
      </text>
    </comment>
    <comment authorId="86" xr:uid="{d96f5b4b-4530-4be9-a0c0-8890a2699fc7}" ref="V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450
</t>
      </text>
    </comment>
    <comment authorId="87" xr:uid="{da31270c-4091-4c83-bffb-f22899fc2b33}" ref="AA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
</t>
      </text>
    </comment>
    <comment authorId="88" xr:uid="{dcdb5662-0976-4aa9-8f0e-277c8bc5dc0c}" ref="H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
</t>
      </text>
    </comment>
    <comment authorId="89" xr:uid="{dcf7f88b-e3f7-431b-bddf-7a4cdc39366a}" ref="W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
</t>
      </text>
    </comment>
    <comment authorId="90" xr:uid="{de6e77b4-11a6-4bb0-9654-7925cc93b992}" ref="C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183
</t>
      </text>
    </comment>
    <comment authorId="91" xr:uid="{df01fa8f-5483-4c05-a9d8-c412406715a5}" ref="C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460
Reply:
	Marked as resolved
Reply:
	Re-opened
</t>
      </text>
    </comment>
    <comment authorId="92" xr:uid="{e2873a8f-0bf3-4877-b5b8-2323657db556}" ref="D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95
</t>
      </text>
    </comment>
    <comment authorId="93" xr:uid="{e39d925f-bd47-44a2-9269-8f54449d249d}" ref="H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
</t>
      </text>
    </comment>
    <comment authorId="94" xr:uid="{e4995831-48c5-4e17-99fa-da6540171567}" ref="W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160
</t>
      </text>
    </comment>
    <comment authorId="95" xr:uid="{e6a4031c-cbca-4ad6-bfbe-5665fc2e5e3d}" ref="H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
</t>
      </text>
    </comment>
    <comment authorId="96" xr:uid="{e7ba4528-3b38-446d-b838-2547c39955c4}" ref="H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
</t>
      </text>
    </comment>
    <comment authorId="97" xr:uid="{e7fe1cbd-f006-4b71-811a-281057ffae43}" ref="AA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
</t>
      </text>
    </comment>
    <comment authorId="98" xr:uid="{e87891d7-07d0-4fe2-8208-c43372bbdfaf}" ref="AA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
</t>
      </text>
    </comment>
    <comment authorId="99" xr:uid="{e9c93c65-5a63-4494-adb8-f8f816bebb37}" ref="C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457
</t>
      </text>
    </comment>
    <comment authorId="100" xr:uid="{e9d14e4e-9ac8-4443-8117-694bc1630a2c}" ref="H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
</t>
      </text>
    </comment>
    <comment authorId="101" xr:uid="{ef0cf2e6-a105-4d82-8f51-b714cfda488e}" ref="C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190
</t>
      </text>
    </comment>
    <comment authorId="102" xr:uid="{f2a5c79b-5f5c-415b-9286-e563e64cb98f}" ref="F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
</t>
      </text>
    </comment>
    <comment authorId="103" xr:uid="{f3def043-5fa4-40ee-84af-7e63e21b3da4}" ref="W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240
</t>
      </text>
    </comment>
    <comment authorId="104" xr:uid="{f7e32961-299c-4921-863a-0886516caedb}" ref="C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400
</t>
      </text>
    </comment>
    <comment authorId="105" xr:uid="{f7f60f2b-4e48-4dc5-adfc-97c3dba5675b}" ref="W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
</t>
      </text>
    </comment>
    <comment authorId="106" xr:uid="{fcd8124b-080b-4003-9d66-de33ef61d522}" ref="D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7">
      <text>
        <t xml:space="preserve">On all par 4's and 5's, no matt the club, input total distance on scorecard of hole here
</t>
      </text>
    </comment>
  </commentList>
</comments>
</file>

<file path=xl/sharedStrings.xml><?xml version="1.0" encoding="utf-8"?>
<sst xmlns="http://schemas.openxmlformats.org/spreadsheetml/2006/main" count="952" uniqueCount="60">
  <si>
    <t>JUST 9 HOLES?</t>
  </si>
  <si>
    <t>DRIVING</t>
  </si>
  <si>
    <t>APPROACH</t>
  </si>
  <si>
    <t>SHORT</t>
  </si>
  <si>
    <t>PUTT</t>
  </si>
  <si>
    <t>SG HIGHLIGHTED IN RED ARE SHOTS YOU LOST MORE THAN 3/4 A STROKE</t>
  </si>
  <si>
    <t>PRO</t>
  </si>
  <si>
    <t>SG HIGHLIGHTED IN YELLOW ARE SHOTS YOU LOST 1/4-3/4 STOKE</t>
  </si>
  <si>
    <t>SCRATCH</t>
  </si>
  <si>
    <t>SG HIGHLIGHTED IN GREEN ARE SHOTS YOU GAINED MORE THAN 1/2 A STROKE</t>
  </si>
  <si>
    <t>GOAL: MAKE THEM EVEN</t>
  </si>
  <si>
    <t>SG PER SHOT</t>
  </si>
  <si>
    <t>TEE</t>
  </si>
  <si>
    <t>FAIRWAY</t>
  </si>
  <si>
    <t>ROUGH</t>
  </si>
  <si>
    <t>SAND</t>
  </si>
  <si>
    <t>RECOVERY</t>
  </si>
  <si>
    <t>PUTTS</t>
  </si>
  <si>
    <t>PENALTY</t>
  </si>
  <si>
    <t>PAR 4 AND 5 TEE</t>
  </si>
  <si>
    <t>&gt;100</t>
  </si>
  <si>
    <t>&lt;100</t>
  </si>
  <si>
    <t>PUTTS ( FEET )</t>
  </si>
  <si>
    <t>DISTANCE</t>
  </si>
  <si>
    <t>GREEN</t>
  </si>
  <si>
    <t>Example</t>
  </si>
  <si>
    <t>580 Yard par 5, drive OB, retwe drive to to 210 fairway, approach to 20 sand, blast to 30 feet, putt to 5 feet, make</t>
  </si>
  <si>
    <t>ONLY</t>
  </si>
  <si>
    <t>MORE</t>
  </si>
  <si>
    <t>THAN</t>
  </si>
  <si>
    <t>YARDS</t>
  </si>
  <si>
    <t>INPUT TOTAL DISTANCE OF HOLE F7, see note</t>
  </si>
  <si>
    <t>Input yardage after tee shot in appropriate column</t>
  </si>
  <si>
    <t>APPROACH ( YARDS )</t>
  </si>
  <si>
    <t xml:space="preserve">Used only for shots not on green inside of 30 yards. Or inside whatever yardage you want to  classify it as. </t>
  </si>
  <si>
    <t>SHORT ( YARDS )</t>
  </si>
  <si>
    <t>First putt distance in feet.</t>
  </si>
  <si>
    <t>If you made your first putt.  Leave the lower row empty.  Otherwise input distance in Feet.  If distance is less than 3 feeet, input "1".</t>
  </si>
  <si>
    <t>Input extra putts in boardered box.  "1" for three putt.  "2" for four putt.</t>
  </si>
  <si>
    <t>Par 3.  220 from pin.  Shot to 40 feet on the green.  First putt to 8 feet, second putt to 2 feet, make</t>
  </si>
  <si>
    <t>If you only have one approach shot, use the lower row.</t>
  </si>
  <si>
    <t>In the "L" column, you can input strokes for penalties.  If you two chip, insert a "1" in the penalty. And input the yardage of your second chip in the appropriate column according to the lie.</t>
  </si>
  <si>
    <t>SCRACTH</t>
  </si>
  <si>
    <t>HERE IS AN EXAPLE OF HOW THINGS SHOULD BE INPUT AND HOW EVERYTHING LOOKS WHEN A ROUND IS INPUT.</t>
  </si>
  <si>
    <t>Check if only 9 holes played</t>
  </si>
  <si>
    <t>SG HIGHLIGHTED IN RED ARE SHOTS YOU LOST MORE THAN 1/4 A STROKE</t>
  </si>
  <si>
    <t>GOAL: MAKE THEM EVEN ( EXCLUDING PUTTS INSIDE OF 18 FEET IF HAVE TAP IN, OR MISSED &lt;4 FEET )</t>
  </si>
  <si>
    <t>DRIVE</t>
  </si>
  <si>
    <t>NONE</t>
  </si>
  <si>
    <t>141, JUST SOMEHOW LONG</t>
  </si>
  <si>
    <t>148, I THINK JUST BAD CONTACT</t>
  </si>
  <si>
    <t>192, MAYBE BAD AIM</t>
  </si>
  <si>
    <t>205, WRONG CLUB, DRAW</t>
  </si>
  <si>
    <t>132, BAD LIE</t>
  </si>
  <si>
    <t>147, PUSH, BAD AIM?, JUST SHOT DISPERSION</t>
  </si>
  <si>
    <t>12, WASN'T THINKING PACE</t>
  </si>
  <si>
    <t>93, WAS WORRIED ABOUT GOING LONG, DIDN'T TRUST</t>
  </si>
  <si>
    <t>3, TRIED TO BE TOO SIMPLE, DIDN'T FIX LINE.</t>
  </si>
  <si>
    <t>This is the Strokes Gained charts from "Every Shot Counts" by Mark Brodie.  I have added in increments so that it pulled the value from the nearest 5 yards in place of the nearest 20.</t>
  </si>
  <si>
    <t>scratch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</si>
</sst>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8.0"/>
      <color theme="1"/>
      <name val="Oswald"/>
    </font>
    <font>
      <b/>
      <sz val="8.0"/>
      <color theme="1"/>
      <name val="Oswald"/>
    </font>
    <font>
      <sz val="12.0"/>
      <color theme="1"/>
      <name val="Oswald"/>
    </font>
    <font>
      <color theme="1"/>
      <name val="Arial"/>
      <scheme val="minor"/>
    </font>
    <font>
      <color theme="1"/>
      <name val="Oswald"/>
    </font>
    <font>
      <b/>
      <sz val="10.0"/>
      <color theme="1"/>
      <name val="Oswald"/>
    </font>
  </fonts>
  <fills count="1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DD7E6B"/>
        <bgColor rgb="FFDD7E6B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  <fill>
      <patternFill patternType="solid">
        <fgColor rgb="FFF4C7C3"/>
        <bgColor rgb="FFF4C7C3"/>
      </patternFill>
    </fill>
    <fill>
      <patternFill patternType="solid">
        <fgColor rgb="FFB7E1CD"/>
        <bgColor rgb="FFB7E1CD"/>
      </patternFill>
    </fill>
  </fills>
  <borders count="5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horizontal="center" vertical="bottom"/>
    </xf>
    <xf borderId="0" fillId="3" fontId="1" numFmtId="0" xfId="0" applyAlignment="1" applyFill="1" applyFont="1">
      <alignment horizontal="center" vertical="bottom"/>
    </xf>
    <xf borderId="0" fillId="4" fontId="1" numFmtId="0" xfId="0" applyAlignment="1" applyFill="1" applyFont="1">
      <alignment horizontal="center" vertical="bottom"/>
    </xf>
    <xf borderId="0" fillId="5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center"/>
    </xf>
    <xf borderId="0" fillId="6" fontId="1" numFmtId="0" xfId="0" applyFill="1" applyFont="1"/>
    <xf borderId="0" fillId="0" fontId="1" numFmtId="0" xfId="0" applyAlignment="1" applyFont="1">
      <alignment horizontal="center" vertical="bottom"/>
    </xf>
    <xf borderId="0" fillId="7" fontId="1" numFmtId="0" xfId="0" applyFill="1" applyFont="1"/>
    <xf borderId="0" fillId="0" fontId="1" numFmtId="2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center"/>
    </xf>
    <xf borderId="0" fillId="8" fontId="1" numFmtId="0" xfId="0" applyFill="1" applyFont="1"/>
    <xf borderId="0" fillId="0" fontId="1" numFmtId="0" xfId="0" applyAlignment="1" applyFont="1">
      <alignment horizontal="center"/>
    </xf>
    <xf borderId="0" fillId="2" fontId="1" numFmtId="0" xfId="0" applyAlignment="1" applyFont="1">
      <alignment horizontal="center"/>
    </xf>
    <xf borderId="0" fillId="2" fontId="2" numFmtId="0" xfId="0" applyAlignment="1" applyFont="1">
      <alignment horizontal="center"/>
    </xf>
    <xf borderId="0" fillId="2" fontId="1" numFmtId="1" xfId="0" applyFont="1" applyNumberFormat="1"/>
    <xf borderId="0" fillId="9" fontId="1" numFmtId="0" xfId="0" applyFill="1" applyFont="1"/>
    <xf borderId="0" fillId="9" fontId="1" numFmtId="0" xfId="0" applyFont="1"/>
    <xf borderId="0" fillId="2" fontId="1" numFmtId="0" xfId="0" applyAlignment="1" applyFont="1">
      <alignment horizontal="center"/>
    </xf>
    <xf borderId="0" fillId="3" fontId="1" numFmtId="0" xfId="0" applyAlignment="1" applyFont="1">
      <alignment horizontal="center"/>
    </xf>
    <xf borderId="0" fillId="3" fontId="1" numFmtId="0" xfId="0" applyFont="1"/>
    <xf borderId="0" fillId="3" fontId="1" numFmtId="0" xfId="0" applyAlignment="1" applyFont="1">
      <alignment horizontal="center"/>
    </xf>
    <xf borderId="0" fillId="4" fontId="1" numFmtId="0" xfId="0" applyAlignment="1" applyFont="1">
      <alignment horizontal="center"/>
    </xf>
    <xf borderId="0" fillId="4" fontId="1" numFmtId="0" xfId="0" applyFont="1"/>
    <xf borderId="0" fillId="5" fontId="1" numFmtId="0" xfId="0" applyAlignment="1" applyFont="1">
      <alignment horizontal="center"/>
    </xf>
    <xf borderId="1" fillId="5" fontId="1" numFmtId="0" xfId="0" applyAlignment="1" applyBorder="1" applyFont="1">
      <alignment horizontal="center"/>
    </xf>
    <xf borderId="1" fillId="5" fontId="1" numFmtId="0" xfId="0" applyBorder="1" applyFont="1"/>
    <xf borderId="2" fillId="5" fontId="1" numFmtId="0" xfId="0" applyAlignment="1" applyBorder="1" applyFont="1">
      <alignment horizontal="center"/>
    </xf>
    <xf borderId="3" fillId="5" fontId="1" numFmtId="0" xfId="0" applyBorder="1" applyFont="1"/>
    <xf borderId="3" fillId="5" fontId="1" numFmtId="0" xfId="0" applyBorder="1" applyFont="1"/>
    <xf borderId="0" fillId="0" fontId="1" numFmtId="0" xfId="0" applyAlignment="1" applyFont="1">
      <alignment horizontal="right" readingOrder="0" vertical="center"/>
    </xf>
    <xf borderId="0" fillId="2" fontId="1" numFmtId="0" xfId="0" applyFont="1"/>
    <xf borderId="0" fillId="0" fontId="1" numFmtId="2" xfId="0" applyFont="1" applyNumberFormat="1"/>
    <xf borderId="0" fillId="4" fontId="1" numFmtId="0" xfId="0" applyAlignment="1" applyFont="1">
      <alignment horizontal="center"/>
    </xf>
    <xf borderId="1" fillId="0" fontId="1" numFmtId="0" xfId="0" applyBorder="1" applyFont="1"/>
    <xf borderId="2" fillId="0" fontId="1" numFmtId="0" xfId="0" applyBorder="1" applyFont="1"/>
    <xf borderId="3" fillId="0" fontId="1" numFmtId="0" xfId="0" applyAlignment="1" applyBorder="1" applyFont="1">
      <alignment horizontal="center"/>
    </xf>
    <xf borderId="0" fillId="10" fontId="1" numFmtId="0" xfId="0" applyFill="1" applyFont="1"/>
    <xf borderId="0" fillId="10" fontId="1" numFmtId="2" xfId="0" applyFont="1" applyNumberFormat="1"/>
    <xf borderId="0" fillId="10" fontId="1" numFmtId="0" xfId="0" applyAlignment="1" applyFont="1">
      <alignment horizontal="center"/>
    </xf>
    <xf borderId="0" fillId="10" fontId="1" numFmtId="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vertical="center"/>
    </xf>
    <xf borderId="0" fillId="2" fontId="1" numFmtId="1" xfId="0" applyAlignment="1" applyFont="1" applyNumberFormat="1">
      <alignment horizontal="center" readingOrder="0" vertical="center"/>
    </xf>
    <xf borderId="0" fillId="9" fontId="1" numFmtId="0" xfId="0" applyAlignment="1" applyFont="1">
      <alignment horizontal="center" vertical="center"/>
    </xf>
    <xf borderId="0" fillId="9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3" fontId="1" numFmtId="0" xfId="0" applyAlignment="1" applyFont="1">
      <alignment horizontal="center" readingOrder="0" vertical="center"/>
    </xf>
    <xf borderId="0" fillId="4" fontId="1" numFmtId="0" xfId="0" applyAlignment="1" applyFont="1">
      <alignment horizontal="center" readingOrder="0" vertical="center"/>
    </xf>
    <xf borderId="0" fillId="5" fontId="1" numFmtId="0" xfId="0" applyAlignment="1" applyFont="1">
      <alignment horizontal="center" readingOrder="0" vertical="center"/>
    </xf>
    <xf borderId="0" fillId="3" fontId="1" numFmtId="0" xfId="0" applyAlignment="1" applyFont="1">
      <alignment horizontal="center" vertical="center"/>
    </xf>
    <xf borderId="0" fillId="4" fontId="1" numFmtId="0" xfId="0" applyAlignment="1" applyFont="1">
      <alignment horizontal="center" vertical="center"/>
    </xf>
    <xf borderId="0" fillId="5" fontId="1" numFmtId="0" xfId="0" applyAlignment="1" applyFont="1">
      <alignment horizontal="center" vertical="center"/>
    </xf>
    <xf borderId="4" fillId="5" fontId="1" numFmtId="0" xfId="0" applyAlignment="1" applyBorder="1" applyFont="1">
      <alignment horizontal="center" vertical="center"/>
    </xf>
    <xf borderId="4" fillId="5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vertical="center"/>
    </xf>
    <xf borderId="0" fillId="10" fontId="1" numFmtId="0" xfId="0" applyAlignment="1" applyFont="1">
      <alignment horizontal="center" vertical="center"/>
    </xf>
    <xf borderId="0" fillId="10" fontId="1" numFmtId="2" xfId="0" applyAlignment="1" applyFont="1" applyNumberFormat="1">
      <alignment horizontal="center" vertical="center"/>
    </xf>
    <xf borderId="0" fillId="10" fontId="1" numFmtId="0" xfId="0" applyAlignment="1" applyFont="1">
      <alignment horizontal="center" readingOrder="0" vertical="center"/>
    </xf>
    <xf borderId="0" fillId="10" fontId="1" numFmtId="2" xfId="0" applyAlignment="1" applyFont="1" applyNumberFormat="1">
      <alignment horizontal="center" readingOrder="0" vertical="center"/>
    </xf>
    <xf borderId="0" fillId="0" fontId="1" numFmtId="2" xfId="0" applyAlignment="1" applyFont="1" applyNumberFormat="1">
      <alignment horizontal="center" vertical="center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6" fontId="1" numFmtId="0" xfId="0" applyAlignment="1" applyFont="1">
      <alignment horizontal="center" readingOrder="0" vertical="center"/>
    </xf>
    <xf borderId="0" fillId="8" fontId="1" numFmtId="0" xfId="0" applyAlignment="1" applyFont="1">
      <alignment horizontal="center" readingOrder="0" vertical="center"/>
    </xf>
    <xf borderId="0" fillId="2" fontId="2" numFmtId="0" xfId="0" applyAlignment="1" applyFont="1">
      <alignment horizontal="center" vertical="center"/>
    </xf>
    <xf borderId="0" fillId="2" fontId="1" numFmtId="1" xfId="0" applyAlignment="1" applyFont="1" applyNumberFormat="1">
      <alignment horizontal="center" vertical="center"/>
    </xf>
    <xf borderId="0" fillId="11" fontId="1" numFmtId="0" xfId="0" applyAlignment="1" applyFill="1" applyFont="1">
      <alignment horizontal="center" vertical="center"/>
    </xf>
    <xf borderId="0" fillId="0" fontId="1" numFmtId="0" xfId="0" applyAlignment="1" applyFont="1">
      <alignment horizontal="center" shrinkToFit="0" vertical="center" wrapText="0"/>
    </xf>
    <xf borderId="0" fillId="12" fontId="1" numFmtId="0" xfId="0" applyAlignment="1" applyFill="1" applyFont="1">
      <alignment horizontal="center" vertical="center"/>
    </xf>
    <xf borderId="0" fillId="0" fontId="4" numFmtId="0" xfId="0" applyAlignment="1" applyFont="1">
      <alignment readingOrder="0" shrinkToFit="0" vertical="center" wrapText="1"/>
    </xf>
    <xf borderId="0" fillId="0" fontId="5" numFmtId="0" xfId="0" applyFont="1"/>
    <xf borderId="0" fillId="2" fontId="6" numFmtId="0" xfId="0" applyAlignment="1" applyFont="1">
      <alignment horizontal="center" readingOrder="0" vertical="center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than" id="{d3994676-ad21-4727-9e10-6de1217eceea}" providerId="google-sheets"/>
  <x18tc:person displayName="John Gavin" id="{46fb2a16-a44c-4398-a03b-4a6887c24ec0}" providerId="google-sheets"/>
  <x18tc:person displayName="James Langridge" id="{f08f39ac-0d36-44ec-b54d-954b21326d16}" providerId="google-sheets"/>
  <x18tc:person displayName="Jon Gutierrez" id="{629b0059-a81d-4f3f-89f0-a4934d7e76c9}" providerId="google-sheets"/>
  <x18tc:person displayName="Ryan johnson" id="{04142a2f-5306-4bca-8502-27e01f599447}" providerId="google-sheets"/>
  <x18tc:person displayName="Ryan “bellchambeau” Bell" id="{8e44684a-e8cf-40dd-8fe1-e28fc56d276f}" providerId="google-sheets"/>
  <x18tc:person displayName="Javi GG" id="{704e11dd-0c5b-4378-a29e-80ff9c8fc5dd}" providerId="google-sheets"/>
  <x18tc:person displayName="Shane Burke" id="{c9cab8f3-1508-4156-92e3-d8d5d7467128}" providerId="google-sheets"/>
  <x18tc:person displayName="Joseph Czerniakowski" id="{1ddb4609-bc41-4bc6-9348-8b525824f320}" providerId="google-sheets"/>
  <x18tc:person displayName="Nathan Agee" id="{c316623e-4aaf-4c5a-9565-ecb64964bc6e}" providerId="google-sheets"/>
  <x18tc:person displayName="Greg James" id="{fca8b488-02f5-458c-9c0f-5b98cbc062e5}" providerId="google-sheets"/>
  <x18tc:person displayName="Travis Mueller" id="{f780a938-a56d-4af3-96c4-2ad41f46b2c0}" providerId="google-sheets"/>
  <x18tc:person displayName="Muadz Rabuan" id="{c998c520-dae3-4453-868b-64d4e8ac7b28}" providerId="google-sheets"/>
  <x18tc:person displayName="Nigel Witts" id="{c22b056c-d7e7-4a9d-9c3c-23febf7cb6d4}" providerId="google-sheets"/>
  <x18tc:person displayName="Kyler Spencer" id="{2f8ff805-52c7-4573-8f13-eefadd9c00c1}" providerId="google-sheets"/>
  <x18tc:person displayName="Ryan Cook" id="{3001a89c-41c1-4731-868d-a669fa5343ee}" providerId="google-sheets"/>
  <x18tc:person displayName="william Hissom" id="{44a39029-d6df-499d-8636-214450935e4a}" providerId="google-sheets"/>
  <x18tc:person displayName="Sean Nowling" id="{ffe42c31-9ca8-48eb-af14-1377241d815e}" providerId="google-sheets"/>
  <x18tc:person displayName="Kazlin143" id="{dcd579b5-7126-409f-8321-fc3f788d093f}" providerId="google-sheets"/>
  <x18tc:person displayName="Stephen Davis" id="{e8c8a5a3-5849-418e-954b-38f38db9ae42}" providerId="google-sheets"/>
  <x18tc:person displayName="Kevin T" id="{6e3a022b-f2aa-45eb-a66d-342726c4ab55}" providerId="google-sheets"/>
  <x18tc:person displayName="RICHARD THORPE" id="{f011423e-a558-4bfc-aecc-ea589ecf4333}" providerId="google-sheets"/>
  <x18tc:person displayName="Oliver Wood-Clark" id="{426cfd80-934d-4fc1-bbc5-56041040f4a7}" providerId="google-sheets"/>
  <x18tc:person displayName="Wave Icon" id="{146c19e4-5aa2-45ea-a3e9-da555abe3566}" providerId="google-sheets"/>
  <x18tc:person displayName="Maurice Levan" id="{3927f7f3-9da2-4fc9-9f82-09d09d706e9b}" providerId="google-sheets"/>
  <x18tc:person displayName="Joshua Leger" id="{05e6659f-2860-48a9-ae20-bcb0f640672e}" providerId="google-sheets"/>
  <x18tc:person displayName="icetrey 24" id="{02d2e558-7fa5-434d-8a14-82e735310e7a}" providerId="google-sheets"/>
  <x18tc:person displayName="William Wright" id="{dc1443b9-a55a-4223-8d75-233511d97154}" providerId="google-sheets"/>
  <x18tc:person displayName="Liam Hancock" id="{92103713-2fa2-4b70-bd53-02fbaa5d532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5" dT="2026-04-22T20:46:28.00" personId="{fca8b488-02f5-458c-9c0f-5b98cbc062e5}" id="{769e9e37-afe8-4801-8271-510719a07149}" done="0">
    <x18tc:text xml:space="preserve">200</x18tc:text>
  </x18tc:threadedComment>
  <x18tc:threadedComment ref="W63" dT="2024-05-30T00:06:47.00" personId="{46fb2a16-a44c-4398-a03b-4a6887c24ec0}" id="{69ece69b-f23d-480e-a660-69fcfd736f61}" done="0">
    <x18tc:text xml:space="preserve">75</x18tc:text>
  </x18tc:threadedComment>
  <x18tc:threadedComment ref="AA59" dT="2024-05-30T00:06:28.00" personId="{46fb2a16-a44c-4398-a03b-4a6887c24ec0}" id="{6d8ac4b9-fe1b-461d-89db-435e42cc6a7a}" done="0">
    <x18tc:text xml:space="preserve">4</x18tc:text>
  </x18tc:threadedComment>
  <x18tc:threadedComment ref="C12" dT="2024-11-27T23:22:28.00" personId="{426cfd80-934d-4fc1-bbc5-56041040f4a7}" id="{0609958a-02a6-4356-924c-16e3ebb57956}" done="1">
    <x18tc:text xml:space="preserve">400</x18tc:text>
  </x18tc:threadedComment>
  <x18tc:threadedComment ref="C12" dT="2025-02-10T12:26:09.00" personId="{44a39029-d6df-499d-8636-214450935e4a}" id="{020e887f-f3db-4ff3-8bd1-6e1cebb0e419}" parentId="{0609958a-02a6-4356-924c-16e3ebb57956}">
    <x18tc:text xml:space="preserve">450</x18tc:text>
  </x18tc:threadedComment>
  <x18tc:threadedComment ref="AA58" dT="2024-05-30T00:06:24.00" personId="{46fb2a16-a44c-4398-a03b-4a6887c24ec0}" id="{da31270c-4091-4c83-bffb-f22899fc2b33}" done="0">
    <x18tc:text xml:space="preserve">20</x18tc:text>
  </x18tc:threadedComment>
  <x18tc:threadedComment ref="W56" dT="2024-05-30T00:06:18.00" personId="{46fb2a16-a44c-4398-a03b-4a6887c24ec0}" id="{e4995831-48c5-4e17-99fa-da6540171567}" done="0">
    <x18tc:text xml:space="preserve">160</x18tc:text>
  </x18tc:threadedComment>
  <x18tc:threadedComment ref="W43" dT="2024-05-30T00:04:39.00" personId="{46fb2a16-a44c-4398-a03b-4a6887c24ec0}" id="{6f7e4bf1-1f37-4b95-9897-8009a33211b2}" done="0">
    <x18tc:text xml:space="preserve">10</x18tc:text>
  </x18tc:threadedComment>
  <x18tc:threadedComment ref="D14" dT="2023-03-25T13:28:48.00" personId="{c9cab8f3-1508-4156-92e3-d8d5d7467128}" id="{5837dc19-eece-4fd5-adc0-891274be6a83}" done="1">
    <x18tc:text xml:space="preserve">300</x18tc:text>
  </x18tc:threadedComment>
  <x18tc:threadedComment ref="AA52" dT="2024-05-30T00:06:01.00" personId="{46fb2a16-a44c-4398-a03b-4a6887c24ec0}" id="{a5a6f563-d029-4e8f-a569-42bdcfec713a}" done="0">
    <x18tc:text xml:space="preserve">1</x18tc:text>
  </x18tc:threadedComment>
  <x18tc:threadedComment ref="W42" dT="2024-05-30T00:03:36.00" personId="{46fb2a16-a44c-4398-a03b-4a6887c24ec0}" id="{b13713d1-8059-4eaf-b087-11385da99c89}" done="0">
    <x18tc:text xml:space="preserve">125</x18tc:text>
  </x18tc:threadedComment>
  <x18tc:threadedComment ref="AA51" dT="2024-05-30T00:05:57.00" personId="{46fb2a16-a44c-4398-a03b-4a6887c24ec0}" id="{e87891d7-07d0-4fe2-8208-c43372bbdfaf}" done="0">
    <x18tc:text xml:space="preserve">5</x18tc:text>
  </x18tc:threadedComment>
  <x18tc:threadedComment ref="W41" dT="2024-05-30T00:03:22.00" personId="{46fb2a16-a44c-4398-a03b-4a6887c24ec0}" id="{863ca613-93aa-4b9a-a4ab-e37316b915f3}" done="0">
    <x18tc:text xml:space="preserve">330</x18tc:text>
  </x18tc:threadedComment>
  <x18tc:threadedComment ref="Z50" dT="2024-05-30T00:05:49.00" personId="{46fb2a16-a44c-4398-a03b-4a6887c24ec0}" id="{253e43d4-1fc0-4c7e-99af-976a9dc70d16}" done="0">
    <x18tc:text xml:space="preserve">10</x18tc:text>
  </x18tc:threadedComment>
  <x18tc:threadedComment ref="AB38" dT="2024-05-30T00:03:12.00" personId="{46fb2a16-a44c-4398-a03b-4a6887c24ec0}" id="{b1574a4f-ce58-4aae-8c8f-a0eb8bb4b482}" done="0">
    <x18tc:text xml:space="preserve">1</x18tc:text>
  </x18tc:threadedComment>
  <x18tc:threadedComment ref="Y50" dT="2024-05-30T00:05:44.00" personId="{46fb2a16-a44c-4398-a03b-4a6887c24ec0}" id="{c8c4407f-3933-490d-9572-272c341bb7f9}" done="0">
    <x18tc:text xml:space="preserve">15</x18tc:text>
  </x18tc:threadedComment>
  <x18tc:threadedComment ref="AA38" dT="2024-05-30T00:03:08.00" personId="{46fb2a16-a44c-4398-a03b-4a6887c24ec0}" id="{a84beabe-742d-4a80-a6f9-55fd663e96a7}" done="0">
    <x18tc:text xml:space="preserve">4</x18tc:text>
  </x18tc:threadedComment>
  <x18tc:threadedComment ref="X49" dT="2024-05-30T00:05:35.00" personId="{46fb2a16-a44c-4398-a03b-4a6887c24ec0}" id="{8ddc1fd1-ced6-44e3-b5bb-9c53a19cc758}" done="0">
    <x18tc:text xml:space="preserve">40</x18tc:text>
  </x18tc:threadedComment>
  <x18tc:threadedComment ref="AA37" dT="2024-05-30T00:02:58.00" personId="{46fb2a16-a44c-4398-a03b-4a6887c24ec0}" id="{8f9904e3-3a2f-456d-9e02-4d07af2d9d80}" done="0">
    <x18tc:text xml:space="preserve">12</x18tc:text>
  </x18tc:threadedComment>
  <x18tc:threadedComment ref="AB47" dT="2024-05-30T00:05:17.00" personId="{46fb2a16-a44c-4398-a03b-4a6887c24ec0}" id="{8d28653c-1397-4fc0-9f1d-349c8f29828f}" done="0">
    <x18tc:text xml:space="preserve">1</x18tc:text>
  </x18tc:threadedComment>
  <x18tc:threadedComment ref="W35" dT="2024-05-30T00:02:50.00" personId="{46fb2a16-a44c-4398-a03b-4a6887c24ec0}" id="{600825ac-b848-40eb-8727-d2284029ad20}" done="0">
    <x18tc:text xml:space="preserve">180</x18tc:text>
  </x18tc:threadedComment>
  <x18tc:threadedComment ref="AA72" dT="2024-05-30T00:08:11.00" personId="{46fb2a16-a44c-4398-a03b-4a6887c24ec0}" id="{e7fe1cbd-f006-4b71-811a-281057ffae43}" done="0">
    <x18tc:text xml:space="preserve">4</x18tc:text>
  </x18tc:threadedComment>
  <x18tc:threadedComment ref="AA31" dT="2024-05-30T00:02:20.00" personId="{46fb2a16-a44c-4398-a03b-4a6887c24ec0}" id="{2ec6729a-8ef1-4365-890d-d8128ac50c28}" done="0">
    <x18tc:text xml:space="preserve">1</x18tc:text>
  </x18tc:threadedComment>
  <x18tc:threadedComment ref="C12" dT="2024-02-26T03:21:19.00" personId="{dc1443b9-a55a-4223-8d75-233511d97154}" id="{525a3685-d8e4-4c5c-808b-8c6be0c2a311}" done="1">
    <x18tc:text xml:space="preserve">363</x18tc:text>
  </x18tc:threadedComment>
  <x18tc:threadedComment ref="C12" dT="2024-02-28T09:21:14.00" personId="{92103713-2fa2-4b70-bd53-02fbaa5d5324}" id="{bd62c6d0-4247-47a8-9a5e-4261627f2ae6}" parentId="{525a3685-d8e4-4c5c-808b-8c6be0c2a311}">
    <x18tc:text xml:space="preserve">335</x18tc:text>
  </x18tc:threadedComment>
  <x18tc:threadedComment ref="Z71" dT="2024-05-30T00:07:41.00" personId="{46fb2a16-a44c-4398-a03b-4a6887c24ec0}" id="{869c48cc-6e62-4738-acef-9b4104beb1ab}" done="0">
    <x18tc:text xml:space="preserve">10</x18tc:text>
  </x18tc:threadedComment>
  <x18tc:threadedComment ref="AA30" dT="2024-05-30T00:02:15.00" personId="{46fb2a16-a44c-4398-a03b-4a6887c24ec0}" id="{a1dcda28-a383-4bc1-aae7-048582b96d88}" done="0">
    <x18tc:text xml:space="preserve">10</x18tc:text>
  </x18tc:threadedComment>
  <x18tc:threadedComment ref="Y71" dT="2024-05-30T00:07:32.00" personId="{46fb2a16-a44c-4398-a03b-4a6887c24ec0}" id="{b9ee2b69-e028-4c8c-b6d2-a61967577190}" done="0">
    <x18tc:text xml:space="preserve">10</x18tc:text>
  </x18tc:threadedComment>
  <x18tc:threadedComment ref="AA24" dT="2024-05-30T00:02:03.00" personId="{46fb2a16-a44c-4398-a03b-4a6887c24ec0}" id="{96c0254d-c76b-437a-830f-94fb028826d1}" done="0">
    <x18tc:text xml:space="preserve">3</x18tc:text>
  </x18tc:threadedComment>
  <x18tc:threadedComment ref="C13" dT="2023-12-12T16:24:16.00" personId="{02d2e558-7fa5-434d-8a14-82e735310e7a}" id="{c78378b6-b958-46ae-8134-3e2cfcbbeeed}" done="1">
    <x18tc:text xml:space="preserve">300</x18tc:text>
  </x18tc:threadedComment>
  <x18tc:threadedComment ref="C12" dT="2025-07-28T14:55:03.00" personId="{05e6659f-2860-48a9-ae20-bcb0f640672e}" id="{de6e77b4-11a6-4bb0-9654-7925cc93b992}" done="1">
    <x18tc:text xml:space="preserve">183</x18tc:text>
  </x18tc:threadedComment>
  <x18tc:threadedComment ref="C12" dT="2022-11-03T09:30:47.00" personId="{6e3a022b-f2aa-45eb-a66d-342726c4ab55}" id="{ca2a9fd8-89d6-428e-bf54-9096b2638e0f}" done="1">
    <x18tc:text xml:space="preserve">550</x18tc:text>
  </x18tc:threadedComment>
  <x18tc:threadedComment ref="C12" dT="2022-12-10T03:58:58.00" personId="{3001a89c-41c1-4731-868d-a669fa5343ee}" id="{42e0e486-d51d-4604-bf76-5129fc250133}" parentId="{ca2a9fd8-89d6-428e-bf54-9096b2638e0f}">
    <x18tc:text xml:space="preserve">Marked as resolved</x18tc:text>
  </x18tc:threadedComment>
  <x18tc:threadedComment ref="C12" dT="2022-12-10T04:11:43.00" personId="{d3994676-ad21-4727-9e10-6de1217eceea}" id="{5a1ebc25-9acb-4d3b-9a6e-c979829637bc}" parentId="{ca2a9fd8-89d6-428e-bf54-9096b2638e0f}">
    <x18tc:text xml:space="preserve">Re-opened</x18tc:text>
  </x18tc:threadedComment>
  <x18tc:threadedComment ref="C12" dT="2022-12-10T04:11:46.00" personId="{d3994676-ad21-4727-9e10-6de1217eceea}" id="{a11fb259-da83-46f7-94b9-52b4c3b570bd}" parentId="{ca2a9fd8-89d6-428e-bf54-9096b2638e0f}">
    <x18tc:text xml:space="preserve">Marked as resolved</x18tc:text>
  </x18tc:threadedComment>
  <x18tc:threadedComment ref="C12" dT="2023-03-25T13:27:11.00" personId="{c9cab8f3-1508-4156-92e3-d8d5d7467128}" id="{d7845ec7-b13d-42c2-8506-d5e30d77c373}" parentId="{ca2a9fd8-89d6-428e-bf54-9096b2638e0f}">
    <x18tc:text xml:space="preserve">Re-opened</x18tc:text>
  </x18tc:threadedComment>
  <x18tc:threadedComment ref="H45" dT="2024-05-29T23:56:22.00" personId="{46fb2a16-a44c-4398-a03b-4a6887c24ec0}" id="{e6a4031c-cbca-4ad6-bfbe-5665fc2e5e3d}" done="0">
    <x18tc:text xml:space="preserve">14</x18tc:text>
  </x18tc:threadedComment>
  <x18tc:threadedComment ref="V61" dT="2024-05-29T23:38:05.00" personId="{46fb2a16-a44c-4398-a03b-4a6887c24ec0}" id="{5a8d0962-89ac-4f5b-8d17-cb2edf8c363b}" done="0">
    <x18tc:text xml:space="preserve">315</x18tc:text>
  </x18tc:threadedComment>
  <x18tc:threadedComment ref="D64" dT="2024-05-29T23:59:17.00" personId="{46fb2a16-a44c-4398-a03b-4a6887c24ec0}" id="{6282b40e-9a49-44f5-a70f-ea8d314716d8}" done="1">
    <x18tc:text xml:space="preserve">115</x18tc:text>
  </x18tc:threadedComment>
  <x18tc:threadedComment ref="C12" dT="2023-12-23T14:26:30.00" personId="{f780a938-a56d-4af3-96c4-2ad41f46b2c0}" id="{f7e32961-299c-4921-863a-0886516caedb}" done="1">
    <x18tc:text xml:space="preserve">400</x18tc:text>
  </x18tc:threadedComment>
  <x18tc:threadedComment ref="H66" dT="2024-05-29T23:59:25.00" personId="{46fb2a16-a44c-4398-a03b-4a6887c24ec0}" id="{837ab519-1863-45ea-a2ce-f4847c304b1b}" done="1">
    <x18tc:text xml:space="preserve">30</x18tc:text>
  </x18tc:threadedComment>
  <x18tc:threadedComment ref="H67" dT="2024-05-29T23:59:32.00" personId="{46fb2a16-a44c-4398-a03b-4a6887c24ec0}" id="{0e12f5d3-d204-45d8-80dc-fa0226ae3b48}" done="1">
    <x18tc:text xml:space="preserve">3</x18tc:text>
  </x18tc:threadedComment>
  <x18tc:threadedComment ref="D71" dT="2024-05-29T23:59:43.00" personId="{46fb2a16-a44c-4398-a03b-4a6887c24ec0}" id="{4d144d62-9d10-4470-b9e0-3c8a93e2d871}" done="0">
    <x18tc:text xml:space="preserve">167</x18tc:text>
  </x18tc:threadedComment>
  <x18tc:threadedComment ref="H73" dT="2024-05-30T00:00:04.00" personId="{46fb2a16-a44c-4398-a03b-4a6887c24ec0}" id="{d074bb3d-2a43-40d0-8acd-fc7129ec5154}" done="1">
    <x18tc:text xml:space="preserve">20</x18tc:text>
  </x18tc:threadedComment>
  <x18tc:threadedComment ref="H74" dT="2024-05-30T00:00:14.00" personId="{46fb2a16-a44c-4398-a03b-4a6887c24ec0}" id="{e9d14e4e-9ac8-4443-8117-694bc1630a2c}" done="1">
    <x18tc:text xml:space="preserve">8</x18tc:text>
  </x18tc:threadedComment>
  <x18tc:threadedComment ref="I74" dT="2024-05-30T00:00:20.00" personId="{46fb2a16-a44c-4398-a03b-4a6887c24ec0}" id="{a9fd67bd-1fbe-43e8-99f5-dbc06f766343}" done="0">
    <x18tc:text xml:space="preserve">1</x18tc:text>
  </x18tc:threadedComment>
  <x18tc:threadedComment ref="D14" dT="2026-06-04T15:06:42.00" personId="{629b0059-a81d-4f3f-89f0-a4934d7e76c9}" id="{8911e1d3-4243-4c2e-b6e4-936d7039c0bd}" done="0">
    <x18tc:text xml:space="preserve">Zzz</x18tc:text>
  </x18tc:threadedComment>
  <x18tc:threadedComment ref="W69" dT="2024-05-30T00:07:18.00" personId="{46fb2a16-a44c-4398-a03b-4a6887c24ec0}" id="{f3def043-5fa4-40ee-84af-7e63e21b3da4}" done="0">
    <x18tc:text xml:space="preserve">240</x18tc:text>
  </x18tc:threadedComment>
  <x18tc:threadedComment ref="AA65" dT="2024-05-30T00:07:09.00" personId="{46fb2a16-a44c-4398-a03b-4a6887c24ec0}" id="{28f5d2b7-b322-43c6-83ab-23bd725a7132}" done="0">
    <x18tc:text xml:space="preserve">2</x18tc:text>
  </x18tc:threadedComment>
  <x18tc:threadedComment ref="D13" dT="2026-06-04T15:05:57.00" personId="{629b0059-a81d-4f3f-89f0-a4934d7e76c9}" id="{186f45ca-3eb3-42cd-9931-0ce2939e3bd2}" done="0">
    <x18tc:text xml:space="preserve">176</x18tc:text>
  </x18tc:threadedComment>
  <x18tc:threadedComment ref="W64" dT="2024-05-30T00:07:04.00" personId="{46fb2a16-a44c-4398-a03b-4a6887c24ec0}" id="{f7f60f2b-4e48-4dc5-adfc-97c3dba5675b}" done="0">
    <x18tc:text xml:space="preserve">10</x18tc:text>
  </x18tc:threadedComment>
  <x18tc:threadedComment ref="V40" dT="2024-05-29T23:37:34.00" personId="{46fb2a16-a44c-4398-a03b-4a6887c24ec0}" id="{c75088ae-a0ba-4029-97ea-8e970bcde462}" done="0">
    <x18tc:text xml:space="preserve">580</x18tc:text>
  </x18tc:threadedComment>
  <x18tc:threadedComment ref="H16" dT="2024-05-29T23:44:22.00" personId="{46fb2a16-a44c-4398-a03b-4a6887c24ec0}" id="{e39d925f-bd47-44a2-9269-8f54449d249d}" done="1">
    <x18tc:text xml:space="preserve">20</x18tc:text>
  </x18tc:threadedComment>
  <x18tc:threadedComment ref="D43" dT="2024-05-29T23:57:52.00" personId="{46fb2a16-a44c-4398-a03b-4a6887c24ec0}" id="{1b80c7b1-09c8-4cda-ad6b-60021a56cd7c}" done="0">
    <x18tc:text xml:space="preserve">218</x18tc:text>
  </x18tc:threadedComment>
  <x18tc:threadedComment ref="V54" dT="2024-05-29T23:37:54.00" personId="{46fb2a16-a44c-4398-a03b-4a6887c24ec0}" id="{115bf870-3089-4af1-ab77-86f4ad0e2284}" done="0">
    <x18tc:text xml:space="preserve">380</x18tc:text>
  </x18tc:threadedComment>
  <x18tc:threadedComment ref="H17" dT="2024-05-29T23:44:33.00" personId="{46fb2a16-a44c-4398-a03b-4a6887c24ec0}" id="{77e5848b-ba4c-42a1-bd4d-990303d45ed9}" done="1">
    <x18tc:text xml:space="preserve">1</x18tc:text>
  </x18tc:threadedComment>
  <x18tc:threadedComment ref="C12" dT="2024-05-12T03:15:23.00" personId="{dcd579b5-7126-409f-8321-fc3f788d093f}" id="{df01fa8f-5483-4c05-a9d8-c412406715a5}" done="1">
    <x18tc:text xml:space="preserve">460</x18tc:text>
  </x18tc:threadedComment>
  <x18tc:threadedComment ref="C12" dT="2024-05-15T21:23:37.00" personId="{704e11dd-0c5b-4378-a29e-80ff9c8fc5dd}" id="{92c4d938-6f2e-4a6e-9949-8896d0dfa512}" parentId="{df01fa8f-5483-4c05-a9d8-c412406715a5}">
    <x18tc:text xml:space="preserve">Marked as resolved</x18tc:text>
  </x18tc:threadedComment>
  <x18tc:threadedComment ref="C12" dT="2024-05-15T21:23:47.00" personId="{704e11dd-0c5b-4378-a29e-80ff9c8fc5dd}" id="{a3b848d2-dadd-4b20-9cc7-013992e04154}" parentId="{df01fa8f-5483-4c05-a9d8-c412406715a5}">
    <x18tc:text xml:space="preserve">Re-opened</x18tc:text>
  </x18tc:threadedComment>
  <x18tc:threadedComment ref="H38" dT="2024-05-29T23:51:02.00" personId="{46fb2a16-a44c-4398-a03b-4a6887c24ec0}" id="{061a7fc5-7e75-41a2-9b0f-c438680f6e45}" done="0">
    <x18tc:text xml:space="preserve">14</x18tc:text>
  </x18tc:threadedComment>
  <x18tc:threadedComment ref="D21" dT="2024-05-29T23:45:14.00" personId="{46fb2a16-a44c-4398-a03b-4a6887c24ec0}" id="{9bf193e0-c5ef-4576-8a1e-98443009097c}" done="1">
    <x18tc:text xml:space="preserve">290</x18tc:text>
  </x18tc:threadedComment>
  <x18tc:threadedComment ref="H39" dT="2024-05-29T23:52:21.00" personId="{46fb2a16-a44c-4398-a03b-4a6887c24ec0}" id="{3815fd61-751f-49c6-9569-ac6a13a6538a}" done="0">
    <x18tc:text xml:space="preserve">5</x18tc:text>
  </x18tc:threadedComment>
  <x18tc:threadedComment ref="A1" dT="2022-04-25T18:59:41.00" personId="{8e44684a-e8cf-40dd-8fe1-e28fc56d276f}" id="{d177b97b-f901-4799-a205-e4ab6f9a461d}" done="1">
    <x18tc:text xml:space="preserve">Hey everyone I have changed the link so that everyone can comment here on the sheet with any questions or suggestions!</x18tc:text>
  </x18tc:threadedComment>
  <x18tc:threadedComment ref="A1" dT="2022-04-28T15:42:09.00" personId="{c316623e-4aaf-4c5a-9565-ecb64964bc6e}" id="{235bb25d-06aa-4e87-ae2f-879cbccb21ec}" parentId="{d177b97b-f901-4799-a205-e4ab6f9a461d}">
    <x18tc:text xml:space="preserve">Marked as resolved</x18tc:text>
  </x18tc:threadedComment>
  <x18tc:threadedComment ref="A1" dT="2022-05-01T01:07:04.00" personId="{8e44684a-e8cf-40dd-8fe1-e28fc56d276f}" id="{0dfec48c-4e46-40a6-9872-6b8ca4e4dcb4}" parentId="{d177b97b-f901-4799-a205-e4ab6f9a461d}">
    <x18tc:text xml:space="preserve">Re-opened</x18tc:text>
  </x18tc:threadedComment>
  <x18tc:threadedComment ref="A1" dT="2022-11-06T21:45:40.00" personId="{d3994676-ad21-4727-9e10-6de1217eceea}" id="{d2e94b27-d9d3-412d-80ea-6291e0086b3d}" parentId="{d177b97b-f901-4799-a205-e4ab6f9a461d}">
    <x18tc:text xml:space="preserve">Hi Ryan, thanks for putting this together. It's works great. 
I just have a quick question. How do you manage where you've had to hit 3 approach shots? 
For example yesterday I played a par 5. Mishit my second shot and ended up needing 3 'approach' shots to make it to the green. How would you capture that?</x18tc:text>
  </x18tc:threadedComment>
  <x18tc:threadedComment ref="A1" dT="2022-12-12T22:03:51.00" personId="{8e44684a-e8cf-40dd-8fe1-e28fc56d276f}" id="{cc642605-1e62-4b51-b877-9b24abe0751c}" parentId="{d177b97b-f901-4799-a205-e4ab6f9a461d}">
    <x18tc:text xml:space="preserve">Hey man. Sorry for the late reply. In that situation I would just put a 1 in the penalty column. It will then calculate strokes gained correctly, and no info is lost.</x18tc:text>
  </x18tc:threadedComment>
  <x18tc:threadedComment ref="I39" dT="2024-05-29T23:52:28.00" personId="{46fb2a16-a44c-4398-a03b-4a6887c24ec0}" id="{7ec89cf7-39f2-4a8c-87e7-f4c55922e97f}" done="0">
    <x18tc:text xml:space="preserve">1</x18tc:text>
  </x18tc:threadedComment>
  <x18tc:threadedComment ref="W14" dT="2024-05-30T00:00:56.00" personId="{46fb2a16-a44c-4398-a03b-4a6887c24ec0}" id="{3c7332d2-e058-478f-b099-fa29d0124946}" done="1">
    <x18tc:text xml:space="preserve">90</x18tc:text>
  </x18tc:threadedComment>
  <x18tc:threadedComment ref="D22" dT="2024-05-29T23:46:59.00" personId="{46fb2a16-a44c-4398-a03b-4a6887c24ec0}" id="{4e027466-1dba-4ba4-ae90-7e1016f198ce}" done="1">
    <x18tc:text xml:space="preserve">75</x18tc:text>
  </x18tc:threadedComment>
  <x18tc:threadedComment ref="AA16" dT="2024-05-30T00:01:06.00" personId="{46fb2a16-a44c-4398-a03b-4a6887c24ec0}" id="{6f986d6b-6abb-4708-8dc6-0eb93d1907c3}" done="1">
    <x18tc:text xml:space="preserve">20</x18tc:text>
  </x18tc:threadedComment>
  <x18tc:threadedComment ref="H24" dT="2024-05-29T23:47:11.00" personId="{46fb2a16-a44c-4398-a03b-4a6887c24ec0}" id="{6cb86fd6-8bf7-414e-9751-8f23ac21dc99}" done="1">
    <x18tc:text xml:space="preserve">15</x18tc:text>
  </x18tc:threadedComment>
  <x18tc:threadedComment ref="C12" dT="2022-06-18T11:01:00.00" personId="{ffe42c31-9ca8-48eb-af14-1377241d815e}" id="{2549702b-f9bb-4306-b24b-520929bba051}" done="1">
    <x18tc:text xml:space="preserve">340</x18tc:text>
  </x18tc:threadedComment>
  <x18tc:threadedComment ref="AA17" dT="2024-05-30T00:01:16.00" personId="{46fb2a16-a44c-4398-a03b-4a6887c24ec0}" id="{d1679ef5-7bc9-4cf1-a9d0-aa71da5798f7}" done="1">
    <x18tc:text xml:space="preserve">4</x18tc:text>
  </x18tc:threadedComment>
  <x18tc:threadedComment ref="H25" dT="2024-05-29T23:47:17.00" personId="{46fb2a16-a44c-4398-a03b-4a6887c24ec0}" id="{dcdb5662-0976-4aa9-8f0e-277c8bc5dc0c}" done="1">
    <x18tc:text xml:space="preserve">2</x18tc:text>
  </x18tc:threadedComment>
  <x18tc:threadedComment ref="H45" dT="2024-05-29T23:54:22.00" personId="{46fb2a16-a44c-4398-a03b-4a6887c24ec0}" id="{d2fb3fd3-cd04-4372-a17d-9fc29f94aeb7}" done="1">
    <x18tc:text xml:space="preserve">14</x18tc:text>
  </x18tc:threadedComment>
  <x18tc:threadedComment ref="E50" dT="2024-05-29T23:58:09.00" personId="{46fb2a16-a44c-4398-a03b-4a6887c24ec0}" id="{6d3df087-da09-4a9e-a07f-b773ee3f7f47}" done="1">
    <x18tc:text xml:space="preserve">130</x18tc:text>
  </x18tc:threadedComment>
  <x18tc:threadedComment ref="C12" dT="2025-06-22T22:11:37.00" personId="{c22b056c-d7e7-4a9d-9c3c-23febf7cb6d4}" id="{45af6764-84a8-44d6-af7a-35ba0ce98bb0}" done="1">
    <x18tc:text xml:space="preserve">312</x18tc:text>
  </x18tc:threadedComment>
  <x18tc:threadedComment ref="H46" dT="2024-05-29T23:54:29.00" personId="{46fb2a16-a44c-4398-a03b-4a6887c24ec0}" id="{477fc236-a31a-4a00-ab89-f5a49649aa5d}" done="0">
    <x18tc:text xml:space="preserve">2</x18tc:text>
  </x18tc:threadedComment>
  <x18tc:threadedComment ref="C12" dT="2023-05-17T04:30:05.00" personId="{2f8ff805-52c7-4573-8f13-eefadd9c00c1}" id="{a1fed4db-45d4-4ecb-b456-880f0f8f0d0f}" done="1">
    <x18tc:text xml:space="preserve">265</x18tc:text>
  </x18tc:threadedComment>
  <x18tc:threadedComment ref="F51" dT="2024-05-29T23:58:15.00" personId="{46fb2a16-a44c-4398-a03b-4a6887c24ec0}" id="{f2a5c79b-5f5c-415b-9286-e563e64cb98f}" done="1">
    <x18tc:text xml:space="preserve">15</x18tc:text>
  </x18tc:threadedComment>
  <x18tc:threadedComment ref="D13" dT="2022-05-01T14:07:18.00" personId="{3927f7f3-9da2-4fc9-9f82-09d09d706e9b}" id="{225303d2-c796-498e-b04c-eb633914e96b}" done="1">
    <x18tc:text xml:space="preserve">love this thanks so much</x18tc:text>
  </x18tc:threadedComment>
  <x18tc:threadedComment ref="D13" dT="2022-05-01T14:08:10.00" personId="{3927f7f3-9da2-4fc9-9f82-09d09d706e9b}" id="{58acf5b6-3445-4644-b467-1e2b4d01e73d}" parentId="{225303d2-c796-498e-b04c-eb633914e96b}">
    <x18tc:text xml:space="preserve">200</x18tc:text>
  </x18tc:threadedComment>
  <x18tc:threadedComment ref="D13" dT="2022-05-04T23:04:08.00" personId="{8e44684a-e8cf-40dd-8fe1-e28fc56d276f}" id="{f92afa9f-89dc-4e83-b756-41e3f9bf09b1}" parentId="{225303d2-c796-498e-b04c-eb633914e96b}">
    <x18tc:text xml:space="preserve">Glad to hear it!  I've enjoyed it as well.</x18tc:text>
  </x18tc:threadedComment>
  <x18tc:threadedComment ref="D13" dT="2023-02-23T14:07:15.00" personId="{146c19e4-5aa2-45ea-a3e9-da555abe3566}" id="{7dbcb612-77c1-403f-9b52-4f82c6939bfb}" parentId="{225303d2-c796-498e-b04c-eb633914e96b}">
    <x18tc:text xml:space="preserve">I can't copy and paste the formula over please help</x18tc:text>
  </x18tc:threadedComment>
  <x18tc:threadedComment ref="D13" dT="2023-03-23T18:00:13.00" personId="{8e44684a-e8cf-40dd-8fe1-e28fc56d276f}" id="{29f5ee86-f6da-46f8-a96a-e2b8e595a1ae}" parentId="{225303d2-c796-498e-b04c-eb633914e96b}">
    <x18tc:text xml:space="preserve">Sorry took so long.  You figure it out?</x18tc:text>
  </x18tc:threadedComment>
  <x18tc:threadedComment ref="H52" dT="2024-05-29T23:58:26.00" personId="{46fb2a16-a44c-4398-a03b-4a6887c24ec0}" id="{1b665ebc-2e0e-4690-8df9-95e4c0f9acfa}" done="0">
    <x18tc:text xml:space="preserve">5</x18tc:text>
  </x18tc:threadedComment>
  <x18tc:threadedComment ref="H53" dT="2024-05-29T23:58:33.00" personId="{46fb2a16-a44c-4398-a03b-4a6887c24ec0}" id="{7edf3862-f331-4f2b-b9ab-43849bc67a6a}" done="0">
    <x18tc:text xml:space="preserve">1</x18tc:text>
  </x18tc:threadedComment>
  <x18tc:threadedComment ref="AB67" dT="2024-03-31T22:18:58.00" personId="{e8c8a5a3-5849-418e-954b-38f38db9ae42}" id="{0d85f0b6-12d8-40f1-8d7b-2bc0b66afd6b}" done="0">
    <x18tc:text xml:space="preserve">PENALTY</x18tc:text>
  </x18tc:threadedComment>
  <x18tc:threadedComment ref="H59" dT="2024-05-29T23:58:52.00" personId="{46fb2a16-a44c-4398-a03b-4a6887c24ec0}" id="{2f12c772-0a5f-47ee-949c-920d87920199}" done="0">
    <x18tc:text xml:space="preserve">6</x18tc:text>
  </x18tc:threadedComment>
  <x18tc:threadedComment ref="D63" dT="2024-05-29T23:59:03.00" personId="{46fb2a16-a44c-4398-a03b-4a6887c24ec0}" id="{ca569f2e-a30d-4e07-92e1-487c00e608d0}" done="1">
    <x18tc:text xml:space="preserve">290</x18tc:text>
  </x18tc:threadedComment>
  <x18tc:threadedComment ref="V68" dT="2024-05-29T23:38:14.00" personId="{46fb2a16-a44c-4398-a03b-4a6887c24ec0}" id="{050b3a14-2831-404d-a2df-6f506131605d}" done="0">
    <x18tc:text xml:space="preserve">500</x18tc:text>
  </x18tc:threadedComment>
  <x18tc:threadedComment ref="AA23" dT="2024-05-30T00:01:58.00" personId="{46fb2a16-a44c-4398-a03b-4a6887c24ec0}" id="{8994b4a1-54b4-4835-b388-47cfae192f16}" done="0">
    <x18tc:text xml:space="preserve">20</x18tc:text>
  </x18tc:threadedComment>
  <x18tc:threadedComment ref="D13" dT="2026-01-20T12:57:40.00" personId="{f08f39ac-0d36-44ec-b54d-954b21326d16}" id="{fcd8124b-080b-4003-9d66-de33ef61d522}" done="1">
    <x18tc:text xml:space="preserve">100</x18tc:text>
  </x18tc:threadedComment>
  <x18tc:threadedComment ref="C29" dT="2024-05-29T23:40:01.00" personId="{46fb2a16-a44c-4398-a03b-4a6887c24ec0}" id="{ef0cf2e6-a105-4d82-8f51-b714cfda488e}" done="1">
    <x18tc:text xml:space="preserve">190</x18tc:text>
  </x18tc:threadedComment>
  <x18tc:threadedComment ref="W22" dT="2024-05-30T00:01:53.00" personId="{46fb2a16-a44c-4398-a03b-4a6887c24ec0}" id="{dcf7f88b-e3f7-431b-bddf-7a4cdc39366a}" done="0">
    <x18tc:text xml:space="preserve">15</x18tc:text>
  </x18tc:threadedComment>
  <x18tc:threadedComment ref="Y21" dT="2024-05-30T00:01:29.00" personId="{46fb2a16-a44c-4398-a03b-4a6887c24ec0}" id="{7b8d1076-f27a-4a03-953b-bb135eb7d524}" done="1">
    <x18tc:text xml:space="preserve">160</x18tc:text>
  </x18tc:threadedComment>
  <x18tc:threadedComment ref="C12" dT="2024-05-29T23:34:52.00" personId="{46fb2a16-a44c-4398-a03b-4a6887c24ec0}" id="{c3af740a-8b30-4fa1-b1bb-ff5eb321b7ad}" done="1">
    <x18tc:text xml:space="preserve">370</x18tc:text>
  </x18tc:threadedComment>
  <x18tc:threadedComment ref="C12" dT="2024-07-12T21:47:52.00" personId="{04142a2f-5306-4bca-8502-27e01f599447}" id="{596b21b6-4cec-431f-9f00-a90bedc50141}" parentId="{c3af740a-8b30-4fa1-b1bb-ff5eb321b7ad}">
    <x18tc:text xml:space="preserve">363</x18tc:text>
  </x18tc:threadedComment>
  <x18tc:threadedComment ref="AB45" dT="2024-05-30T00:05:07.00" personId="{46fb2a16-a44c-4398-a03b-4a6887c24ec0}" id="{9d6786ac-dd16-477e-bd03-8bdc94642e89}" done="0">
    <x18tc:text xml:space="preserve">1</x18tc:text>
  </x18tc:threadedComment>
  <x18tc:threadedComment ref="C20" dT="2024-05-29T23:34:58.00" personId="{46fb2a16-a44c-4398-a03b-4a6887c24ec0}" id="{72dea6f4-d57f-41de-bf47-40981d2432f8}" done="1">
    <x18tc:text xml:space="preserve">560</x18tc:text>
  </x18tc:threadedComment>
  <x18tc:threadedComment ref="AA45" dT="2024-05-30T00:05:02.00" personId="{46fb2a16-a44c-4398-a03b-4a6887c24ec0}" id="{2eb4b59b-1627-44aa-9478-0e01101e6542}" done="0">
    <x18tc:text xml:space="preserve">6</x18tc:text>
  </x18tc:threadedComment>
  <x18tc:threadedComment ref="C34" dT="2024-05-29T23:35:19.00" personId="{46fb2a16-a44c-4398-a03b-4a6887c24ec0}" id="{582da25a-29ae-4b41-bbbd-f014a4528eac}" done="1">
    <x18tc:text xml:space="preserve">400</x18tc:text>
  </x18tc:threadedComment>
  <x18tc:threadedComment ref="AA44" dT="2024-05-30T00:04:56.00" personId="{46fb2a16-a44c-4398-a03b-4a6887c24ec0}" id="{624398de-e34a-4974-a7ce-fece98530992}" done="0">
    <x18tc:text xml:space="preserve">25</x18tc:text>
  </x18tc:threadedComment>
  <x18tc:threadedComment ref="H31" dT="2024-05-29T23:47:49.00" personId="{46fb2a16-a44c-4398-a03b-4a6887c24ec0}" id="{83e3f978-9874-4d7a-abe2-d06a8a36d6be}" done="1">
    <x18tc:text xml:space="preserve">12</x18tc:text>
  </x18tc:threadedComment>
  <x18tc:threadedComment ref="C41" dT="2024-05-29T23:35:31.00" personId="{46fb2a16-a44c-4398-a03b-4a6887c24ec0}" id="{9d217bb3-5de5-464e-9d78-cc7098664d90}" done="0">
    <x18tc:text xml:space="preserve">440</x18tc:text>
  </x18tc:threadedComment>
  <x18tc:threadedComment ref="H32" dT="2024-05-29T23:47:54.00" personId="{46fb2a16-a44c-4398-a03b-4a6887c24ec0}" id="{e7ba4528-3b38-446d-b838-2547c39955c4}" done="1">
    <x18tc:text xml:space="preserve">3</x18tc:text>
  </x18tc:threadedComment>
  <x18tc:threadedComment ref="C48" dT="2024-05-29T23:35:44.00" personId="{46fb2a16-a44c-4398-a03b-4a6887c24ec0}" id="{4fc029dc-d71c-4b68-86e4-ee428dd5314d}" done="0">
    <x18tc:text xml:space="preserve">390</x18tc:text>
  </x18tc:threadedComment>
  <x18tc:threadedComment ref="D35" dT="2024-05-29T23:50:48.00" personId="{46fb2a16-a44c-4398-a03b-4a6887c24ec0}" id="{d40c0340-a550-4957-9295-f77e754d6b86}" done="1">
    <x18tc:text xml:space="preserve">95</x18tc:text>
  </x18tc:threadedComment>
  <x18tc:threadedComment ref="C62" dT="2024-05-29T23:36:02.00" personId="{46fb2a16-a44c-4398-a03b-4a6887c24ec0}" id="{75d34f5e-999f-4737-85f0-cd3e0a5b5bea}" done="1">
    <x18tc:text xml:space="preserve">560</x18tc:text>
  </x18tc:threadedComment>
  <x18tc:threadedComment ref="E1" dT="2026-05-28T01:48:14.00" personId="{1ddb4609-bc41-4bc6-9348-8b525824f320}" id="{b27a1290-2d14-432b-aefb-426e5bc1ac1f}" done="1">
    <x18tc:text xml:space="preserve">X</x18tc:text>
  </x18tc:threadedComment>
  <x18tc:threadedComment ref="C12" dT="2025-03-13T10:49:20.00" personId="{f011423e-a558-4bfc-aecc-ea589ecf4333}" id="{e9c93c65-5a63-4494-adb8-f8f816bebb37}" done="1">
    <x18tc:text xml:space="preserve">457</x18tc:text>
  </x18tc:threadedComment>
  <x18tc:threadedComment ref="C57" dT="2024-05-29T23:40:19.00" personId="{46fb2a16-a44c-4398-a03b-4a6887c24ec0}" id="{4cd466a5-ec32-40da-975f-7d87e0c52f88}" done="0">
    <x18tc:text xml:space="preserve">190</x18tc:text>
  </x18tc:threadedComment>
  <x18tc:threadedComment ref="C69" dT="2024-05-29T23:36:15.00" personId="{46fb2a16-a44c-4398-a03b-4a6887c24ec0}" id="{675e1d57-29f2-49f1-82b5-f5cb586bb9b7}" done="0">
    <x18tc:text xml:space="preserve">436</x18tc:text>
  </x18tc:threadedComment>
  <x18tc:threadedComment ref="V28" dT="2024-05-29T23:40:40.00" personId="{46fb2a16-a44c-4398-a03b-4a6887c24ec0}" id="{bf7bc013-4b01-425e-b4ba-3c2480c524c6}" done="0">
    <x18tc:text xml:space="preserve">195</x18tc:text>
  </x18tc:threadedComment>
  <x18tc:threadedComment ref="C12" dT="2023-09-21T06:08:54.00" personId="{c998c520-dae3-4453-868b-64d4e8ac7b28}" id="{42b72c37-421e-42f0-9e34-23deff82f7bf}" done="1">
    <x18tc:text xml:space="preserve">220</x18tc:text>
  </x18tc:threadedComment>
  <x18tc:threadedComment ref="V12" dT="2024-05-29T23:36:51.00" personId="{46fb2a16-a44c-4398-a03b-4a6887c24ec0}" id="{9bcfb418-6fe5-470c-89e4-3e2d4de484f7}" done="1">
    <x18tc:text xml:space="preserve">392</x18tc:text>
  </x18tc:threadedComment>
  <x18tc:threadedComment ref="V49" dT="2024-05-29T23:40:53.00" personId="{46fb2a16-a44c-4398-a03b-4a6887c24ec0}" id="{5c5efed1-81ab-43b8-9fd7-c76325346d7d}" done="0">
    <x18tc:text xml:space="preserve">200</x18tc:text>
  </x18tc:threadedComment>
  <x18tc:threadedComment ref="V19" dT="2024-05-29T23:36:53.00" personId="{46fb2a16-a44c-4398-a03b-4a6887c24ec0}" id="{5efa175a-088e-424b-a3ab-0944aeaf2f6a}" done="1">
    <x18tc:text xml:space="preserve">450</x18tc:text>
  </x18tc:threadedComment>
  <x18tc:threadedComment ref="I12" dT="2024-05-29T23:43:49.00" personId="{46fb2a16-a44c-4398-a03b-4a6887c24ec0}" id="{2a266ec7-7e9d-409b-872f-a2ec05dfae59}" done="1">
    <x18tc:text xml:space="preserve">1</x18tc:text>
  </x18tc:threadedComment>
  <x18tc:threadedComment ref="D14" dT="2024-05-29T23:57:09.00" personId="{46fb2a16-a44c-4398-a03b-4a6887c24ec0}" id="{1a12dea1-7771-482a-80f1-f5450884f3a5}" done="1">
    <x18tc:text xml:space="preserve">85</x18tc:text>
  </x18tc:threadedComment>
  <x18tc:threadedComment ref="V33" dT="2024-05-29T23:37:12.00" personId="{46fb2a16-a44c-4398-a03b-4a6887c24ec0}" id="{d96f5b4b-4530-4be9-a0c0-8890a2699fc7}" done="0">
    <x18tc:text xml:space="preserve">450</x18tc:text>
  </x18tc:threadedComment>
  <x18tc:threadedComment ref="D36" dT="2024-05-29T23:57:37.00" personId="{46fb2a16-a44c-4398-a03b-4a6887c24ec0}" id="{e2873a8f-0bf3-4877-b5b8-2323657db556}" done="1">
    <x18tc:text xml:space="preserve">95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3.63"/>
    <col customWidth="1" min="3" max="8" width="5.25"/>
    <col customWidth="1" min="9" max="9" width="8.75"/>
    <col customWidth="1" min="10" max="17" width="0.38"/>
    <col customWidth="1" min="18" max="18" width="8.75"/>
    <col customWidth="1" min="19" max="19" width="6.0"/>
    <col customWidth="1" min="20" max="20" width="11.88"/>
    <col customWidth="1" min="21" max="21" width="4.25"/>
    <col customWidth="1" min="22" max="27" width="5.25"/>
    <col customWidth="1" min="28" max="28" width="8.88"/>
    <col customWidth="1" min="29" max="36" width="0.38"/>
    <col customWidth="1" min="37" max="37" width="8.88"/>
  </cols>
  <sheetData>
    <row r="1" ht="12.75" customHeight="1">
      <c r="A1" s="1"/>
      <c r="B1" s="2"/>
      <c r="C1" s="3" t="s">
        <v>0</v>
      </c>
      <c r="E1" s="2" t="b">
        <v>0</v>
      </c>
      <c r="F1" s="3"/>
      <c r="G1" s="3"/>
      <c r="H1" s="2"/>
      <c r="I1" s="2"/>
      <c r="J1" s="1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12.75" customHeight="1">
      <c r="A2" s="1"/>
      <c r="B2" s="4"/>
      <c r="C2" s="4"/>
      <c r="D2" s="5" t="s">
        <v>1</v>
      </c>
      <c r="E2" s="6" t="s">
        <v>2</v>
      </c>
      <c r="F2" s="7" t="s">
        <v>3</v>
      </c>
      <c r="G2" s="8" t="s">
        <v>4</v>
      </c>
      <c r="H2" s="2"/>
      <c r="I2" s="2"/>
      <c r="J2" s="1"/>
      <c r="K2" s="2"/>
      <c r="L2" s="1"/>
      <c r="M2" s="1"/>
      <c r="N2" s="1"/>
      <c r="O2" s="1"/>
      <c r="P2" s="1"/>
      <c r="Q2" s="1"/>
      <c r="R2" s="1"/>
      <c r="S2" s="9" t="s">
        <v>5</v>
      </c>
      <c r="AA2" s="10"/>
      <c r="AB2" s="1"/>
      <c r="AC2" s="1">
        <v>1.78</v>
      </c>
      <c r="AD2" s="1">
        <v>2.03</v>
      </c>
      <c r="AE2" s="1">
        <v>0.39</v>
      </c>
      <c r="AF2" s="1">
        <v>0.94</v>
      </c>
      <c r="AG2" s="2"/>
      <c r="AH2" s="2"/>
      <c r="AI2" s="2"/>
      <c r="AJ2" s="2"/>
      <c r="AK2" s="2"/>
    </row>
    <row r="3" ht="12.75" customHeight="1">
      <c r="A3" s="1"/>
      <c r="B3" s="4"/>
      <c r="C3" s="3" t="s">
        <v>6</v>
      </c>
      <c r="D3" s="11">
        <f>R12+R20+R27+R34+R41+R48+R55+R62+R69+AK12+AK19+AK26+AK33+AK40+AK47+AK54+AK61+AK68</f>
        <v>0</v>
      </c>
      <c r="E3" s="11">
        <f>R13+R14+R21+R22+R28+R29+R35+R36+R42+R43+R49+R50+R56+R57+R63+R64+R70+R71+AK13+AK14+AK20+AK21+AK27+AK28+AK34+AK35+AK41+AK42+AK48+AK49+AK55+AK56+AK62+AK63+AK69+AK70</f>
        <v>0</v>
      </c>
      <c r="F3" s="11">
        <f>R15+R23++R30+R37+R44+R51+R58+R65+R72+AK15+AK22+AK29+AK36+AK43+AK50+AK57+AK64+AK71</f>
        <v>0</v>
      </c>
      <c r="G3" s="11">
        <f>R16+R17+R24+R25+R31+R32++R38+R39+R45+R46+R52+R53+R59+R60+R66+R67+R73+R74+AK16+AK17+AK23+AK24+AK30+AK31+AK37+AK38+AK44+AK45+AK51+AK52+AK58+AK59+AK65+AK66+AK72+AK73</f>
        <v>0</v>
      </c>
      <c r="H3" s="2"/>
      <c r="I3" s="2"/>
      <c r="J3" s="1"/>
      <c r="K3" s="2"/>
      <c r="L3" s="1"/>
      <c r="M3" s="1"/>
      <c r="N3" s="1"/>
      <c r="O3" s="1"/>
      <c r="P3" s="1"/>
      <c r="Q3" s="1"/>
      <c r="R3" s="1"/>
      <c r="S3" s="9" t="s">
        <v>7</v>
      </c>
      <c r="AA3" s="12"/>
      <c r="AB3" s="1"/>
      <c r="AC3" s="1">
        <v>3.31</v>
      </c>
      <c r="AD3" s="1">
        <v>4.29</v>
      </c>
      <c r="AE3" s="1">
        <v>0.97</v>
      </c>
      <c r="AF3" s="1">
        <v>1.42</v>
      </c>
      <c r="AG3" s="2"/>
      <c r="AH3" s="2"/>
      <c r="AI3" s="2"/>
      <c r="AJ3" s="2"/>
      <c r="AK3" s="2"/>
    </row>
    <row r="4" ht="12.75" customHeight="1">
      <c r="A4" s="1"/>
      <c r="B4" s="4"/>
      <c r="C4" s="3" t="s">
        <v>8</v>
      </c>
      <c r="D4" s="13">
        <f t="shared" ref="D4:G4" si="1">IF($E$1=FALSE, D$3+AC2, D$3+AC2/2)</f>
        <v>1.78</v>
      </c>
      <c r="E4" s="13">
        <f t="shared" si="1"/>
        <v>2.03</v>
      </c>
      <c r="F4" s="13">
        <f t="shared" si="1"/>
        <v>0.39</v>
      </c>
      <c r="G4" s="13">
        <f t="shared" si="1"/>
        <v>0.94</v>
      </c>
      <c r="H4" s="2"/>
      <c r="I4" s="2"/>
      <c r="J4" s="1"/>
      <c r="K4" s="2"/>
      <c r="L4" s="1"/>
      <c r="M4" s="1"/>
      <c r="N4" s="1"/>
      <c r="O4" s="1"/>
      <c r="P4" s="1"/>
      <c r="Q4" s="1"/>
      <c r="R4" s="1"/>
      <c r="S4" s="14" t="s">
        <v>9</v>
      </c>
      <c r="AA4" s="15"/>
      <c r="AB4" s="1"/>
      <c r="AC4" s="1">
        <v>3.61</v>
      </c>
      <c r="AD4" s="1">
        <v>6.11</v>
      </c>
      <c r="AE4" s="1">
        <v>1.33</v>
      </c>
      <c r="AF4" s="1">
        <v>2.77</v>
      </c>
      <c r="AG4" s="2"/>
      <c r="AH4" s="2"/>
      <c r="AI4" s="2"/>
      <c r="AJ4" s="2"/>
      <c r="AK4" s="2"/>
    </row>
    <row r="5" ht="12.75" customHeight="1">
      <c r="A5" s="1"/>
      <c r="B5" s="4"/>
      <c r="C5" s="3">
        <v>5.0</v>
      </c>
      <c r="D5" s="13">
        <f t="shared" ref="D5:G5" si="2">IF($E$1=FALSE, D$3+AC3, D$3+AC3/2)</f>
        <v>3.31</v>
      </c>
      <c r="E5" s="13">
        <f t="shared" si="2"/>
        <v>4.29</v>
      </c>
      <c r="F5" s="13">
        <f t="shared" si="2"/>
        <v>0.97</v>
      </c>
      <c r="G5" s="13">
        <f t="shared" si="2"/>
        <v>1.42</v>
      </c>
      <c r="H5" s="2"/>
      <c r="I5" s="2"/>
      <c r="J5" s="1"/>
      <c r="K5" s="2"/>
      <c r="L5" s="1"/>
      <c r="M5" s="1"/>
      <c r="N5" s="1"/>
      <c r="O5" s="1"/>
      <c r="P5" s="1"/>
      <c r="Q5" s="1"/>
      <c r="R5" s="1"/>
      <c r="S5" s="16" t="s">
        <v>10</v>
      </c>
      <c r="AA5" s="1"/>
      <c r="AB5" s="1"/>
      <c r="AC5" s="1">
        <v>4.86</v>
      </c>
      <c r="AD5" s="1">
        <v>8.54</v>
      </c>
      <c r="AE5" s="1">
        <v>4.46</v>
      </c>
      <c r="AF5" s="1">
        <v>4.46</v>
      </c>
      <c r="AG5" s="2"/>
      <c r="AH5" s="2"/>
      <c r="AI5" s="2"/>
      <c r="AJ5" s="2"/>
      <c r="AK5" s="2"/>
    </row>
    <row r="6" ht="12.75" customHeight="1">
      <c r="A6" s="1"/>
      <c r="B6" s="4"/>
      <c r="C6" s="3">
        <v>10.0</v>
      </c>
      <c r="D6" s="13">
        <f t="shared" ref="D6:G6" si="3">IF($E$1=FALSE, D$3+AC4, D$3+AC4/2)</f>
        <v>3.61</v>
      </c>
      <c r="E6" s="13">
        <f t="shared" si="3"/>
        <v>6.11</v>
      </c>
      <c r="F6" s="13">
        <f t="shared" si="3"/>
        <v>1.33</v>
      </c>
      <c r="G6" s="13">
        <f t="shared" si="3"/>
        <v>2.77</v>
      </c>
      <c r="H6" s="2"/>
      <c r="I6" s="2"/>
      <c r="J6" s="1"/>
      <c r="K6" s="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>
        <v>5.75</v>
      </c>
      <c r="AD6" s="1">
        <v>11.26</v>
      </c>
      <c r="AE6" s="1">
        <v>4.48</v>
      </c>
      <c r="AF6" s="1">
        <v>4.48</v>
      </c>
      <c r="AG6" s="2"/>
      <c r="AH6" s="2"/>
      <c r="AI6" s="2"/>
      <c r="AJ6" s="2"/>
      <c r="AK6" s="2"/>
    </row>
    <row r="7" ht="12.75" customHeight="1">
      <c r="A7" s="1"/>
      <c r="B7" s="4"/>
      <c r="C7" s="3">
        <v>15.0</v>
      </c>
      <c r="D7" s="13">
        <f t="shared" ref="D7:G7" si="4">IF($E$1=FALSE, D$3+AC5, D$3+AC5/2)</f>
        <v>4.86</v>
      </c>
      <c r="E7" s="13">
        <f t="shared" si="4"/>
        <v>8.54</v>
      </c>
      <c r="F7" s="13">
        <f t="shared" si="4"/>
        <v>4.46</v>
      </c>
      <c r="G7" s="13">
        <f t="shared" si="4"/>
        <v>4.46</v>
      </c>
      <c r="H7" s="2"/>
      <c r="I7" s="2"/>
      <c r="J7" s="1"/>
      <c r="K7" s="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>
        <v>7.53</v>
      </c>
      <c r="AD7" s="1">
        <v>14.23</v>
      </c>
      <c r="AE7" s="1">
        <v>4.71</v>
      </c>
      <c r="AF7" s="1">
        <v>4.71</v>
      </c>
      <c r="AG7" s="2"/>
      <c r="AH7" s="2"/>
      <c r="AI7" s="2"/>
      <c r="AJ7" s="2"/>
      <c r="AK7" s="2"/>
    </row>
    <row r="8" ht="12.75" customHeight="1">
      <c r="A8" s="1"/>
      <c r="B8" s="4"/>
      <c r="C8" s="3">
        <v>20.0</v>
      </c>
      <c r="D8" s="13">
        <f t="shared" ref="D8:G8" si="5">IF($E$1=FALSE, D$3+AC6, D$3+AC6/2)</f>
        <v>5.75</v>
      </c>
      <c r="E8" s="13">
        <f t="shared" si="5"/>
        <v>11.26</v>
      </c>
      <c r="F8" s="13">
        <f t="shared" si="5"/>
        <v>4.48</v>
      </c>
      <c r="G8" s="13">
        <f t="shared" si="5"/>
        <v>4.48</v>
      </c>
      <c r="H8" s="2"/>
      <c r="I8" s="2"/>
      <c r="J8" s="1"/>
      <c r="K8" s="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ht="12.75" customHeight="1">
      <c r="A9" s="1"/>
      <c r="B9" s="4"/>
      <c r="C9" s="3">
        <v>25.0</v>
      </c>
      <c r="D9" s="13">
        <f t="shared" ref="D9:G9" si="6">IF($E$1=FALSE, D$3+AC7, D$3+AC7/2)</f>
        <v>7.53</v>
      </c>
      <c r="E9" s="13">
        <f t="shared" si="6"/>
        <v>14.23</v>
      </c>
      <c r="F9" s="13">
        <f t="shared" si="6"/>
        <v>4.71</v>
      </c>
      <c r="G9" s="13">
        <f t="shared" si="6"/>
        <v>4.71</v>
      </c>
      <c r="H9" s="2"/>
      <c r="I9" s="2"/>
      <c r="J9" s="1"/>
      <c r="K9" s="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ht="12.75" customHeight="1">
      <c r="A10" s="1"/>
      <c r="B10" s="2"/>
      <c r="C10" s="2"/>
      <c r="D10" s="2"/>
      <c r="E10" s="2"/>
      <c r="F10" s="2"/>
      <c r="G10" s="2"/>
      <c r="H10" s="2"/>
      <c r="I10" s="2"/>
      <c r="J10" s="1"/>
      <c r="K10" s="2"/>
      <c r="L10" s="1"/>
      <c r="M10" s="1"/>
      <c r="N10" s="1"/>
      <c r="O10" s="1"/>
      <c r="P10" s="1"/>
      <c r="Q10" s="1"/>
      <c r="R10" s="2" t="s">
        <v>11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2" t="s">
        <v>11</v>
      </c>
    </row>
    <row r="11" ht="12.75" customHeight="1">
      <c r="A11" s="2"/>
      <c r="B11" s="2"/>
      <c r="C11" s="2" t="s">
        <v>12</v>
      </c>
      <c r="D11" s="2" t="s">
        <v>13</v>
      </c>
      <c r="E11" s="2" t="s">
        <v>14</v>
      </c>
      <c r="F11" s="2" t="s">
        <v>15</v>
      </c>
      <c r="G11" s="2" t="s">
        <v>16</v>
      </c>
      <c r="H11" s="2" t="s">
        <v>17</v>
      </c>
      <c r="I11" s="2" t="s">
        <v>18</v>
      </c>
      <c r="J11" s="1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2" t="s">
        <v>12</v>
      </c>
      <c r="W11" s="2" t="s">
        <v>13</v>
      </c>
      <c r="X11" s="2" t="s">
        <v>14</v>
      </c>
      <c r="Y11" s="2" t="s">
        <v>15</v>
      </c>
      <c r="Z11" s="2" t="s">
        <v>16</v>
      </c>
      <c r="AA11" s="2" t="s">
        <v>17</v>
      </c>
      <c r="AB11" s="2" t="s">
        <v>18</v>
      </c>
      <c r="AC11" s="1"/>
      <c r="AD11" s="1"/>
      <c r="AE11" s="1"/>
      <c r="AF11" s="1"/>
      <c r="AG11" s="1"/>
      <c r="AH11" s="1"/>
      <c r="AI11" s="1"/>
      <c r="AJ11" s="1"/>
      <c r="AK11" s="1"/>
    </row>
    <row r="12" ht="12.75" customHeight="1">
      <c r="A12" s="17" t="s">
        <v>19</v>
      </c>
      <c r="B12" s="18">
        <v>1.0</v>
      </c>
      <c r="C12" s="19"/>
      <c r="D12" s="20"/>
      <c r="E12" s="21"/>
      <c r="F12" s="21"/>
      <c r="G12" s="21"/>
      <c r="H12" s="20"/>
      <c r="I12" s="17"/>
      <c r="J12" s="1" t="str">
        <f t="shared" ref="J12:N12" si="7">IF(C12="","", LOOKUP(C12, $D$160:$D$223, E$160:E$223))</f>
        <v/>
      </c>
      <c r="K12" s="1" t="str">
        <f t="shared" si="7"/>
        <v/>
      </c>
      <c r="L12" s="1" t="str">
        <f t="shared" si="7"/>
        <v/>
      </c>
      <c r="M12" s="1" t="str">
        <f t="shared" si="7"/>
        <v/>
      </c>
      <c r="N12" s="1" t="str">
        <f t="shared" si="7"/>
        <v/>
      </c>
      <c r="O12" s="1" t="str">
        <f t="shared" ref="O12:O13" si="10">IF(H12="","", LOOKUP(H12, I$178:I$223, J$178:J$223))</f>
        <v/>
      </c>
      <c r="P12" s="1" t="str">
        <f t="shared" ref="P12:P18" si="11">IF(SUM(J12:O12)=0, "", SUM(J12:O12))</f>
        <v/>
      </c>
      <c r="Q12" s="1"/>
      <c r="R12" s="1" t="str">
        <f>IF(P12="", "", IF(P13="", IF(P14="",P12-I12-1-P15, P12-I12-1-P14), P12-I12-1-P13))</f>
        <v/>
      </c>
      <c r="S12" s="1"/>
      <c r="T12" s="17" t="s">
        <v>19</v>
      </c>
      <c r="U12" s="18">
        <v>10.0</v>
      </c>
      <c r="V12" s="19"/>
      <c r="W12" s="20"/>
      <c r="X12" s="21"/>
      <c r="Y12" s="21"/>
      <c r="Z12" s="21"/>
      <c r="AA12" s="20"/>
      <c r="AB12" s="22"/>
      <c r="AC12" s="1" t="str">
        <f t="shared" ref="AC12:AG12" si="8">IF(V12="","", LOOKUP(V12, $D$160:$D$223, E$160:E$223))</f>
        <v/>
      </c>
      <c r="AD12" s="1" t="str">
        <f t="shared" si="8"/>
        <v/>
      </c>
      <c r="AE12" s="1" t="str">
        <f t="shared" si="8"/>
        <v/>
      </c>
      <c r="AF12" s="1" t="str">
        <f t="shared" si="8"/>
        <v/>
      </c>
      <c r="AG12" s="1" t="str">
        <f t="shared" si="8"/>
        <v/>
      </c>
      <c r="AH12" s="1" t="str">
        <f t="shared" ref="AH12:AH17" si="13">if(AA12=1, 1, IF(AA12="", "", If(AA12&gt;$K$212, $L$212, if(AA12&gt;$K$211, $L$211, if(AA12&gt;$K$210, $L$210, if(AA12&gt;$K$209, $L$209, if(AA12&gt;$K$208, $L$208, if(AA12&gt;$K$206, $L$206, if(AA12&gt;$K$204, $L$204, if(AA12&gt;$K$202, $L$202, if(AA12&gt;$K$200, $L$200, if(AA12&gt;$K$198, $L$198, if(AA12&gt;$K$194, $L$194, if(AA12&gt;$K$190, $L$190, if(AA12&gt;$K$186, $L$186, if(AA12&gt;$K$182, $L$182, if(AA12&gt;$K$178, $L$178, $L$178)))))))))))))))))</f>
        <v/>
      </c>
      <c r="AI12" s="1" t="str">
        <f t="shared" ref="AI12:AI17" si="14">IF(SUM(AC12:AH12)=0, "", SUM(AC12:AH12))</f>
        <v/>
      </c>
      <c r="AJ12" s="1"/>
      <c r="AK12" s="1" t="str">
        <f>IF(AI12="", "", IF(AI13="", IF(AI14="",AI12-AB12-1-AI15, AI12-AB12-1-AI14), AI12-AB12-1-AI13))</f>
        <v/>
      </c>
    </row>
    <row r="13" ht="12.75" customHeight="1">
      <c r="A13" s="23" t="s">
        <v>20</v>
      </c>
      <c r="B13" s="21"/>
      <c r="C13" s="20"/>
      <c r="D13" s="24"/>
      <c r="E13" s="23"/>
      <c r="F13" s="24"/>
      <c r="G13" s="24"/>
      <c r="H13" s="20"/>
      <c r="I13" s="24"/>
      <c r="J13" s="1" t="str">
        <f t="shared" ref="J13:N13" si="9">IF(C13="","", LOOKUP(C13, $D$160:$D$223, E$160:E$223))</f>
        <v/>
      </c>
      <c r="K13" s="1" t="str">
        <f t="shared" si="9"/>
        <v/>
      </c>
      <c r="L13" s="1" t="str">
        <f t="shared" si="9"/>
        <v/>
      </c>
      <c r="M13" s="1" t="str">
        <f t="shared" si="9"/>
        <v/>
      </c>
      <c r="N13" s="1" t="str">
        <f t="shared" si="9"/>
        <v/>
      </c>
      <c r="O13" s="1" t="str">
        <f t="shared" si="10"/>
        <v/>
      </c>
      <c r="P13" s="1" t="str">
        <f t="shared" si="11"/>
        <v/>
      </c>
      <c r="Q13" s="1" t="str">
        <f>Q15:R15</f>
        <v/>
      </c>
      <c r="R13" s="1" t="str">
        <f t="shared" ref="R13:R15" si="16">IF(P13="", "", IF(P14="", P13-I13-1-P15, P13-I13-1-P14))</f>
        <v/>
      </c>
      <c r="S13" s="1"/>
      <c r="T13" s="23" t="s">
        <v>20</v>
      </c>
      <c r="U13" s="21"/>
      <c r="V13" s="20"/>
      <c r="W13" s="24"/>
      <c r="X13" s="23"/>
      <c r="Y13" s="24"/>
      <c r="Z13" s="24"/>
      <c r="AA13" s="20"/>
      <c r="AB13" s="24"/>
      <c r="AC13" s="1" t="str">
        <f t="shared" ref="AC13:AG13" si="12">IF(V13="","", LOOKUP(V13, $D$160:$D$223, E$160:E$223))</f>
        <v/>
      </c>
      <c r="AD13" s="1" t="str">
        <f t="shared" si="12"/>
        <v/>
      </c>
      <c r="AE13" s="1" t="str">
        <f t="shared" si="12"/>
        <v/>
      </c>
      <c r="AF13" s="1" t="str">
        <f t="shared" si="12"/>
        <v/>
      </c>
      <c r="AG13" s="1" t="str">
        <f t="shared" si="12"/>
        <v/>
      </c>
      <c r="AH13" s="1" t="str">
        <f t="shared" si="13"/>
        <v/>
      </c>
      <c r="AI13" s="1" t="str">
        <f t="shared" si="14"/>
        <v/>
      </c>
      <c r="AJ13" s="1"/>
      <c r="AK13" s="1" t="str">
        <f t="shared" ref="AK13:AK15" si="18">IF(AI13="", "", IF(AI14="", AI13-AB13-1-AI15, AI13-AB13-1-AI14))</f>
        <v/>
      </c>
    </row>
    <row r="14" ht="12.75" customHeight="1">
      <c r="B14" s="21"/>
      <c r="C14" s="23"/>
      <c r="D14" s="23"/>
      <c r="E14" s="23"/>
      <c r="F14" s="24"/>
      <c r="G14" s="23"/>
      <c r="H14" s="20"/>
      <c r="I14" s="24"/>
      <c r="J14" s="1" t="str">
        <f t="shared" ref="J14:N14" si="15">IF(C14="","", LOOKUP(C14, $D$160:$D$223, E$160:E$223))</f>
        <v/>
      </c>
      <c r="K14" s="1" t="str">
        <f t="shared" si="15"/>
        <v/>
      </c>
      <c r="L14" s="1" t="str">
        <f t="shared" si="15"/>
        <v/>
      </c>
      <c r="M14" s="1" t="str">
        <f t="shared" si="15"/>
        <v/>
      </c>
      <c r="N14" s="1" t="str">
        <f t="shared" si="15"/>
        <v/>
      </c>
      <c r="O14" s="1"/>
      <c r="P14" s="1" t="str">
        <f t="shared" si="11"/>
        <v/>
      </c>
      <c r="Q14" s="1"/>
      <c r="R14" s="1" t="str">
        <f t="shared" si="16"/>
        <v/>
      </c>
      <c r="S14" s="1"/>
      <c r="U14" s="21"/>
      <c r="V14" s="25"/>
      <c r="W14" s="23"/>
      <c r="X14" s="23"/>
      <c r="Y14" s="24"/>
      <c r="Z14" s="24"/>
      <c r="AA14" s="20"/>
      <c r="AB14" s="24"/>
      <c r="AC14" s="1" t="str">
        <f t="shared" ref="AC14:AG14" si="17">IF(V14="","", LOOKUP(V14, $D$160:$D$223, E$160:E$223))</f>
        <v/>
      </c>
      <c r="AD14" s="1" t="str">
        <f t="shared" si="17"/>
        <v/>
      </c>
      <c r="AE14" s="1" t="str">
        <f t="shared" si="17"/>
        <v/>
      </c>
      <c r="AF14" s="1" t="str">
        <f t="shared" si="17"/>
        <v/>
      </c>
      <c r="AG14" s="1" t="str">
        <f t="shared" si="17"/>
        <v/>
      </c>
      <c r="AH14" s="1" t="str">
        <f t="shared" si="13"/>
        <v/>
      </c>
      <c r="AI14" s="1" t="str">
        <f t="shared" si="14"/>
        <v/>
      </c>
      <c r="AJ14" s="1"/>
      <c r="AK14" s="1" t="str">
        <f t="shared" si="18"/>
        <v/>
      </c>
    </row>
    <row r="15" ht="12.75" customHeight="1">
      <c r="A15" s="26" t="s">
        <v>21</v>
      </c>
      <c r="B15" s="21"/>
      <c r="C15" s="20"/>
      <c r="D15" s="26"/>
      <c r="E15" s="26"/>
      <c r="F15" s="26"/>
      <c r="G15" s="27"/>
      <c r="H15" s="21"/>
      <c r="I15" s="27"/>
      <c r="J15" s="1" t="str">
        <f t="shared" ref="J15:N15" si="19">IF(C15="","", LOOKUP(C15, $D$160:$D$223, E$160:E$223))</f>
        <v/>
      </c>
      <c r="K15" s="1" t="str">
        <f t="shared" si="19"/>
        <v/>
      </c>
      <c r="L15" s="1" t="str">
        <f t="shared" si="19"/>
        <v/>
      </c>
      <c r="M15" s="1" t="str">
        <f t="shared" si="19"/>
        <v/>
      </c>
      <c r="N15" s="1" t="str">
        <f t="shared" si="19"/>
        <v/>
      </c>
      <c r="O15" s="1" t="str">
        <f>if(H15="", "", If(H15&gt;$K$212, $L$212, if(H15&gt;$K$211, $L$211, if(H15&gt;$K$210, $L$210, if(H15&gt;$K$209, $L$209, if(H15&gt;$K$208, $L$208, if(H15&gt;$K$206, $L$206, if(H15&gt;$K$204, $L$204, if(H15&gt;$K$202, $L$202, if(H15&gt;$K$200, $L$200, if(H15&gt;$K$198, $L$198, if(H15&gt;$K$194, $L$194, if(H15&gt;$K$190, $L$190, if(H15&gt;$K$186, $L$186, if(H15&gt;$K$182, $L$182, if(H15&gt;$K$178, $L$178, $L$178))))))))))))))))</f>
        <v/>
      </c>
      <c r="P15" s="1" t="str">
        <f t="shared" si="11"/>
        <v/>
      </c>
      <c r="Q15" s="1"/>
      <c r="R15" s="1" t="str">
        <f t="shared" si="16"/>
        <v/>
      </c>
      <c r="S15" s="1"/>
      <c r="T15" s="26" t="s">
        <v>21</v>
      </c>
      <c r="U15" s="21"/>
      <c r="V15" s="20"/>
      <c r="W15" s="26"/>
      <c r="X15" s="26"/>
      <c r="Y15" s="26"/>
      <c r="Z15" s="27"/>
      <c r="AA15" s="21"/>
      <c r="AB15" s="27"/>
      <c r="AC15" s="1" t="str">
        <f t="shared" ref="AC15:AG15" si="20">IF(V15="","", LOOKUP(V15, $D$160:$D$223, E$160:E$223))</f>
        <v/>
      </c>
      <c r="AD15" s="1" t="str">
        <f t="shared" si="20"/>
        <v/>
      </c>
      <c r="AE15" s="1" t="str">
        <f t="shared" si="20"/>
        <v/>
      </c>
      <c r="AF15" s="1" t="str">
        <f t="shared" si="20"/>
        <v/>
      </c>
      <c r="AG15" s="1" t="str">
        <f t="shared" si="20"/>
        <v/>
      </c>
      <c r="AH15" s="1" t="str">
        <f t="shared" si="13"/>
        <v/>
      </c>
      <c r="AI15" s="1" t="str">
        <f t="shared" si="14"/>
        <v/>
      </c>
      <c r="AJ15" s="1"/>
      <c r="AK15" s="1" t="str">
        <f t="shared" si="18"/>
        <v/>
      </c>
    </row>
    <row r="16" ht="12.75" customHeight="1">
      <c r="A16" s="28" t="s">
        <v>22</v>
      </c>
      <c r="B16" s="21"/>
      <c r="C16" s="20"/>
      <c r="D16" s="20"/>
      <c r="E16" s="20"/>
      <c r="F16" s="20"/>
      <c r="G16" s="20"/>
      <c r="H16" s="28"/>
      <c r="I16" s="29"/>
      <c r="J16" s="1" t="str">
        <f t="shared" ref="J16:N16" si="21">IF(C16="","", LOOKUP(C16, $D$160:$D$223, E$160:E$223))</f>
        <v/>
      </c>
      <c r="K16" s="1" t="str">
        <f t="shared" si="21"/>
        <v/>
      </c>
      <c r="L16" s="1" t="str">
        <f t="shared" si="21"/>
        <v/>
      </c>
      <c r="M16" s="1" t="str">
        <f t="shared" si="21"/>
        <v/>
      </c>
      <c r="N16" s="1" t="str">
        <f t="shared" si="21"/>
        <v/>
      </c>
      <c r="O16" s="1" t="str">
        <f t="shared" ref="O16:O18" si="24">if(H16=1, 1, IF(H16="", "", If(H16&gt;$K$212, $L$212, if(H16&gt;$K$211, $L$211, if(H16&gt;$K$210, $L$210, if(H16&gt;$K$209, $L$209, if(H16&gt;$K$208, $L$208, if(H16&gt;$K$206, $L$206, if(H16&gt;$K$204, $L$204, if(H16&gt;$K$202, $L$202, if(H16&gt;$K$200, $L$200, if(H16&gt;$K$198, $L$198, if(H16&gt;$K$194, $L$194, if(H16&gt;$K$190, $L$190, if(H16&gt;$K$186, $L$186, if(H16&gt;$K$182, $L$182, if(H16&gt;$K$178, $L$178, $L$178)))))))))))))))))</f>
        <v/>
      </c>
      <c r="P16" s="1" t="str">
        <f t="shared" si="11"/>
        <v/>
      </c>
      <c r="Q16" s="1"/>
      <c r="R16" s="1" t="str">
        <f t="shared" ref="R16:R17" si="25">IF(P16="", "", P16-I16-1-P17)</f>
        <v/>
      </c>
      <c r="S16" s="1"/>
      <c r="T16" s="28" t="s">
        <v>22</v>
      </c>
      <c r="U16" s="21"/>
      <c r="V16" s="20"/>
      <c r="W16" s="20"/>
      <c r="X16" s="20"/>
      <c r="Y16" s="20"/>
      <c r="Z16" s="20"/>
      <c r="AA16" s="28"/>
      <c r="AB16" s="30"/>
      <c r="AC16" s="1" t="str">
        <f t="shared" ref="AC16:AG16" si="22">IF(V16="","", LOOKUP(V16, $D$160:$D$223, E$160:E$223))</f>
        <v/>
      </c>
      <c r="AD16" s="1" t="str">
        <f t="shared" si="22"/>
        <v/>
      </c>
      <c r="AE16" s="1" t="str">
        <f t="shared" si="22"/>
        <v/>
      </c>
      <c r="AF16" s="1" t="str">
        <f t="shared" si="22"/>
        <v/>
      </c>
      <c r="AG16" s="1" t="str">
        <f t="shared" si="22"/>
        <v/>
      </c>
      <c r="AH16" s="1" t="str">
        <f t="shared" si="13"/>
        <v/>
      </c>
      <c r="AI16" s="1" t="str">
        <f t="shared" si="14"/>
        <v/>
      </c>
      <c r="AJ16" s="1"/>
      <c r="AK16" s="1" t="str">
        <f t="shared" ref="AK16:AK17" si="27">IF(AI16="", "", AI16-AB16-1-AI17)</f>
        <v/>
      </c>
    </row>
    <row r="17" ht="12.75" customHeight="1">
      <c r="A17" s="1"/>
      <c r="B17" s="21"/>
      <c r="C17" s="20"/>
      <c r="D17" s="20"/>
      <c r="E17" s="20"/>
      <c r="F17" s="20"/>
      <c r="G17" s="20"/>
      <c r="H17" s="31"/>
      <c r="I17" s="32"/>
      <c r="J17" s="1" t="str">
        <f t="shared" ref="J17:N17" si="23">IF(C17="","", LOOKUP(C17, $D$160:$D$223, E$160:E$223))</f>
        <v/>
      </c>
      <c r="K17" s="1" t="str">
        <f t="shared" si="23"/>
        <v/>
      </c>
      <c r="L17" s="1" t="str">
        <f t="shared" si="23"/>
        <v/>
      </c>
      <c r="M17" s="1" t="str">
        <f t="shared" si="23"/>
        <v/>
      </c>
      <c r="N17" s="1" t="str">
        <f t="shared" si="23"/>
        <v/>
      </c>
      <c r="O17" s="1" t="str">
        <f t="shared" si="24"/>
        <v/>
      </c>
      <c r="P17" s="1" t="str">
        <f t="shared" si="11"/>
        <v/>
      </c>
      <c r="Q17" s="1"/>
      <c r="R17" s="1" t="str">
        <f t="shared" si="25"/>
        <v/>
      </c>
      <c r="S17" s="1"/>
      <c r="T17" s="2"/>
      <c r="U17" s="21"/>
      <c r="V17" s="20"/>
      <c r="W17" s="20"/>
      <c r="X17" s="20"/>
      <c r="Y17" s="20"/>
      <c r="Z17" s="20"/>
      <c r="AA17" s="31"/>
      <c r="AB17" s="33"/>
      <c r="AC17" s="1" t="str">
        <f t="shared" ref="AC17:AG17" si="26">IF(V17="","", LOOKUP(V17, $D$160:$D$223, E$160:E$223))</f>
        <v/>
      </c>
      <c r="AD17" s="1" t="str">
        <f t="shared" si="26"/>
        <v/>
      </c>
      <c r="AE17" s="1" t="str">
        <f t="shared" si="26"/>
        <v/>
      </c>
      <c r="AF17" s="1" t="str">
        <f t="shared" si="26"/>
        <v/>
      </c>
      <c r="AG17" s="1" t="str">
        <f t="shared" si="26"/>
        <v/>
      </c>
      <c r="AH17" s="1" t="str">
        <f t="shared" si="13"/>
        <v/>
      </c>
      <c r="AI17" s="1" t="str">
        <f t="shared" si="14"/>
        <v/>
      </c>
      <c r="AJ17" s="1"/>
      <c r="AK17" s="1" t="str">
        <f t="shared" si="27"/>
        <v/>
      </c>
    </row>
    <row r="18" ht="12.75" customHeight="1">
      <c r="A18" s="1"/>
      <c r="B18" s="34"/>
      <c r="J18" s="1" t="str">
        <f t="shared" ref="J18:N18" si="28">IF(C18="","", LOOKUP(C18, $D$160:$D$223, E$160:E$223))</f>
        <v/>
      </c>
      <c r="K18" s="1" t="str">
        <f t="shared" si="28"/>
        <v/>
      </c>
      <c r="L18" s="1" t="str">
        <f t="shared" si="28"/>
        <v/>
      </c>
      <c r="M18" s="1" t="str">
        <f t="shared" si="28"/>
        <v/>
      </c>
      <c r="N18" s="1" t="str">
        <f t="shared" si="28"/>
        <v/>
      </c>
      <c r="O18" s="1" t="str">
        <f t="shared" si="24"/>
        <v/>
      </c>
      <c r="P18" s="1" t="str">
        <f t="shared" si="11"/>
        <v/>
      </c>
      <c r="Q18" s="1"/>
      <c r="R18" s="1" t="str">
        <f>IF(P18="", "", P18-I18-1-P20)</f>
        <v/>
      </c>
      <c r="S18" s="1"/>
      <c r="T18" s="2"/>
      <c r="U18" s="2"/>
      <c r="V18" s="2" t="s">
        <v>12</v>
      </c>
      <c r="W18" s="2" t="s">
        <v>13</v>
      </c>
      <c r="X18" s="2" t="s">
        <v>14</v>
      </c>
      <c r="Y18" s="2" t="s">
        <v>15</v>
      </c>
      <c r="Z18" s="2" t="s">
        <v>16</v>
      </c>
      <c r="AA18" s="2" t="s">
        <v>17</v>
      </c>
      <c r="AB18" s="2" t="s">
        <v>18</v>
      </c>
      <c r="AC18" s="1"/>
      <c r="AD18" s="1"/>
      <c r="AE18" s="1"/>
      <c r="AF18" s="1"/>
      <c r="AG18" s="1"/>
      <c r="AH18" s="1"/>
      <c r="AI18" s="1"/>
      <c r="AJ18" s="1"/>
      <c r="AK18" s="1"/>
    </row>
    <row r="19" ht="12.75" customHeight="1">
      <c r="A19" s="2"/>
      <c r="B19" s="2"/>
      <c r="C19" s="2" t="s">
        <v>12</v>
      </c>
      <c r="D19" s="2" t="s">
        <v>13</v>
      </c>
      <c r="E19" s="2" t="s">
        <v>14</v>
      </c>
      <c r="F19" s="2" t="s">
        <v>15</v>
      </c>
      <c r="G19" s="2" t="s">
        <v>16</v>
      </c>
      <c r="H19" s="2" t="s">
        <v>17</v>
      </c>
      <c r="I19" s="2" t="s">
        <v>18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7" t="s">
        <v>19</v>
      </c>
      <c r="U19" s="18">
        <v>11.0</v>
      </c>
      <c r="V19" s="19"/>
      <c r="W19" s="20"/>
      <c r="X19" s="21"/>
      <c r="Y19" s="21"/>
      <c r="Z19" s="21"/>
      <c r="AA19" s="20"/>
      <c r="AB19" s="22"/>
      <c r="AC19" s="1" t="str">
        <f t="shared" ref="AC19:AG19" si="29">IF(V19="","", LOOKUP(V19, $D$160:$D$223, E$160:E$223))</f>
        <v/>
      </c>
      <c r="AD19" s="1" t="str">
        <f t="shared" si="29"/>
        <v/>
      </c>
      <c r="AE19" s="1" t="str">
        <f t="shared" si="29"/>
        <v/>
      </c>
      <c r="AF19" s="1" t="str">
        <f t="shared" si="29"/>
        <v/>
      </c>
      <c r="AG19" s="1" t="str">
        <f t="shared" si="29"/>
        <v/>
      </c>
      <c r="AH19" s="1" t="str">
        <f t="shared" ref="AH19:AH24" si="32">if(AA19=1, 1, IF(AA19="", "", If(AA19&gt;$K$212, $L$212, if(AA19&gt;$K$211, $L$211, if(AA19&gt;$K$210, $L$210, if(AA19&gt;$K$209, $L$209, if(AA19&gt;$K$208, $L$208, if(AA19&gt;$K$206, $L$206, if(AA19&gt;$K$204, $L$204, if(AA19&gt;$K$202, $L$202, if(AA19&gt;$K$200, $L$200, if(AA19&gt;$K$198, $L$198, if(AA19&gt;$K$194, $L$194, if(AA19&gt;$K$190, $L$190, if(AA19&gt;$K$186, $L$186, if(AA19&gt;$K$182, $L$182, if(AA19&gt;$K$178, $L$178, $L$178)))))))))))))))))</f>
        <v/>
      </c>
      <c r="AI19" s="1" t="str">
        <f t="shared" ref="AI19:AI24" si="33">IF(SUM(AC19:AH19)=0, "", SUM(AC19:AH19))</f>
        <v/>
      </c>
      <c r="AJ19" s="1"/>
      <c r="AK19" s="1" t="str">
        <f>IF(AI19="", "", IF(AI20="", IF(AI21="",AI19-AB19-1-AI22, AI19-AB19-1-AI21), AI19-AB19-1-AI20))</f>
        <v/>
      </c>
    </row>
    <row r="20" ht="12.75" customHeight="1">
      <c r="A20" s="17" t="s">
        <v>19</v>
      </c>
      <c r="B20" s="18">
        <v>2.0</v>
      </c>
      <c r="C20" s="19"/>
      <c r="D20" s="20"/>
      <c r="E20" s="21"/>
      <c r="F20" s="21"/>
      <c r="G20" s="21"/>
      <c r="H20" s="20"/>
      <c r="I20" s="35"/>
      <c r="J20" s="1" t="str">
        <f t="shared" ref="J20:N20" si="30">IF(C20="","", LOOKUP(C20, $D$160:$D$223, E$160:E$223))</f>
        <v/>
      </c>
      <c r="K20" s="1" t="str">
        <f t="shared" si="30"/>
        <v/>
      </c>
      <c r="L20" s="1" t="str">
        <f t="shared" si="30"/>
        <v/>
      </c>
      <c r="M20" s="1" t="str">
        <f t="shared" si="30"/>
        <v/>
      </c>
      <c r="N20" s="1" t="str">
        <f t="shared" si="30"/>
        <v/>
      </c>
      <c r="O20" s="1" t="str">
        <f t="shared" ref="O20:O25" si="35">if(H20=1, 1, IF(H20="", "", If(H20&gt;$K$212, $L$212, if(H20&gt;$K$211, $L$211, if(H20&gt;$K$210, $L$210, if(H20&gt;$K$209, $L$209, if(H20&gt;$K$208, $L$208, if(H20&gt;$K$206, $L$206, if(H20&gt;$K$204, $L$204, if(H20&gt;$K$202, $L$202, if(H20&gt;$K$200, $L$200, if(H20&gt;$K$198, $L$198, if(H20&gt;$K$194, $L$194, if(H20&gt;$K$190, $L$190, if(H20&gt;$K$186, $L$186, if(H20&gt;$K$182, $L$182, if(H20&gt;$K$178, $L$178, $L$178)))))))))))))))))</f>
        <v/>
      </c>
      <c r="P20" s="1" t="str">
        <f t="shared" ref="P20:P25" si="36">IF(SUM(J20:O20)=0, "", SUM(J20:O20))</f>
        <v/>
      </c>
      <c r="Q20" s="1"/>
      <c r="R20" s="1" t="str">
        <f>IF(P20="", "", IF(P21="", IF(P22="",P20-I20-1-P23, P20-I20-1-P22), P20-I20-1-P21))</f>
        <v/>
      </c>
      <c r="S20" s="1"/>
      <c r="T20" s="23" t="s">
        <v>20</v>
      </c>
      <c r="U20" s="21"/>
      <c r="V20" s="20"/>
      <c r="W20" s="24"/>
      <c r="X20" s="23"/>
      <c r="Y20" s="24"/>
      <c r="Z20" s="24"/>
      <c r="AA20" s="20"/>
      <c r="AB20" s="24"/>
      <c r="AC20" s="1" t="str">
        <f t="shared" ref="AC20:AG20" si="31">IF(V20="","", LOOKUP(V20, $D$160:$D$223, E$160:E$223))</f>
        <v/>
      </c>
      <c r="AD20" s="1" t="str">
        <f t="shared" si="31"/>
        <v/>
      </c>
      <c r="AE20" s="1" t="str">
        <f t="shared" si="31"/>
        <v/>
      </c>
      <c r="AF20" s="1" t="str">
        <f t="shared" si="31"/>
        <v/>
      </c>
      <c r="AG20" s="1" t="str">
        <f t="shared" si="31"/>
        <v/>
      </c>
      <c r="AH20" s="1" t="str">
        <f t="shared" si="32"/>
        <v/>
      </c>
      <c r="AI20" s="1" t="str">
        <f t="shared" si="33"/>
        <v/>
      </c>
      <c r="AJ20" s="1"/>
      <c r="AK20" s="1" t="str">
        <f t="shared" ref="AK20:AK22" si="38">IF(AI20="", "", IF(AI21="", AI20-AB20-1-AI22, AI20-AB20-1-AI21))</f>
        <v/>
      </c>
    </row>
    <row r="21" ht="12.75" customHeight="1">
      <c r="A21" s="23" t="s">
        <v>20</v>
      </c>
      <c r="B21" s="21"/>
      <c r="C21" s="20"/>
      <c r="D21" s="24"/>
      <c r="E21" s="23"/>
      <c r="F21" s="24"/>
      <c r="G21" s="24"/>
      <c r="H21" s="20"/>
      <c r="I21" s="24"/>
      <c r="J21" s="1" t="str">
        <f t="shared" ref="J21:N21" si="34">IF(C21="","", LOOKUP(C21, $D$160:$D$223, E$160:E$223))</f>
        <v/>
      </c>
      <c r="K21" s="1" t="str">
        <f t="shared" si="34"/>
        <v/>
      </c>
      <c r="L21" s="1" t="str">
        <f t="shared" si="34"/>
        <v/>
      </c>
      <c r="M21" s="1" t="str">
        <f t="shared" si="34"/>
        <v/>
      </c>
      <c r="N21" s="1" t="str">
        <f t="shared" si="34"/>
        <v/>
      </c>
      <c r="O21" s="1" t="str">
        <f t="shared" si="35"/>
        <v/>
      </c>
      <c r="P21" s="1" t="str">
        <f t="shared" si="36"/>
        <v/>
      </c>
      <c r="Q21" s="1"/>
      <c r="R21" s="1" t="str">
        <f t="shared" ref="R21:R23" si="40">IF(P21="", "", IF(P22="", P21-I21-1-P23, P21-I21-1-P22))</f>
        <v/>
      </c>
      <c r="S21" s="1"/>
      <c r="U21" s="21"/>
      <c r="V21" s="24"/>
      <c r="W21" s="23"/>
      <c r="X21" s="23"/>
      <c r="Y21" s="24"/>
      <c r="Z21" s="24"/>
      <c r="AA21" s="20"/>
      <c r="AB21" s="24"/>
      <c r="AC21" s="1" t="str">
        <f t="shared" ref="AC21:AG21" si="37">IF(V21="","", LOOKUP(V21, $D$160:$D$223, E$160:E$223))</f>
        <v/>
      </c>
      <c r="AD21" s="1" t="str">
        <f t="shared" si="37"/>
        <v/>
      </c>
      <c r="AE21" s="1" t="str">
        <f t="shared" si="37"/>
        <v/>
      </c>
      <c r="AF21" s="1" t="str">
        <f t="shared" si="37"/>
        <v/>
      </c>
      <c r="AG21" s="1" t="str">
        <f t="shared" si="37"/>
        <v/>
      </c>
      <c r="AH21" s="1" t="str">
        <f t="shared" si="32"/>
        <v/>
      </c>
      <c r="AI21" s="1" t="str">
        <f t="shared" si="33"/>
        <v/>
      </c>
      <c r="AJ21" s="1"/>
      <c r="AK21" s="1" t="str">
        <f t="shared" si="38"/>
        <v/>
      </c>
    </row>
    <row r="22" ht="12.75" customHeight="1">
      <c r="B22" s="21"/>
      <c r="C22" s="25"/>
      <c r="D22" s="25"/>
      <c r="E22" s="23"/>
      <c r="F22" s="24"/>
      <c r="G22" s="24"/>
      <c r="H22" s="20"/>
      <c r="I22" s="24"/>
      <c r="J22" s="1" t="str">
        <f t="shared" ref="J22:N22" si="39">IF(C22="","", LOOKUP(C22, $D$160:$D$223, E$160:E$223))</f>
        <v/>
      </c>
      <c r="K22" s="1" t="str">
        <f t="shared" si="39"/>
        <v/>
      </c>
      <c r="L22" s="1" t="str">
        <f t="shared" si="39"/>
        <v/>
      </c>
      <c r="M22" s="1" t="str">
        <f t="shared" si="39"/>
        <v/>
      </c>
      <c r="N22" s="1" t="str">
        <f t="shared" si="39"/>
        <v/>
      </c>
      <c r="O22" s="1" t="str">
        <f t="shared" si="35"/>
        <v/>
      </c>
      <c r="P22" s="1" t="str">
        <f t="shared" si="36"/>
        <v/>
      </c>
      <c r="Q22" s="1"/>
      <c r="R22" s="1" t="str">
        <f t="shared" si="40"/>
        <v/>
      </c>
      <c r="S22" s="1"/>
      <c r="T22" s="26" t="s">
        <v>21</v>
      </c>
      <c r="U22" s="21"/>
      <c r="V22" s="20"/>
      <c r="W22" s="26"/>
      <c r="X22" s="26"/>
      <c r="Y22" s="26"/>
      <c r="Z22" s="27"/>
      <c r="AA22" s="21"/>
      <c r="AB22" s="27"/>
      <c r="AC22" s="1" t="str">
        <f t="shared" ref="AC22:AG22" si="41">IF(V22="","", LOOKUP(V22, $D$160:$D$223, E$160:E$223))</f>
        <v/>
      </c>
      <c r="AD22" s="1" t="str">
        <f t="shared" si="41"/>
        <v/>
      </c>
      <c r="AE22" s="1" t="str">
        <f t="shared" si="41"/>
        <v/>
      </c>
      <c r="AF22" s="1" t="str">
        <f t="shared" si="41"/>
        <v/>
      </c>
      <c r="AG22" s="1" t="str">
        <f t="shared" si="41"/>
        <v/>
      </c>
      <c r="AH22" s="1" t="str">
        <f t="shared" si="32"/>
        <v/>
      </c>
      <c r="AI22" s="1" t="str">
        <f t="shared" si="33"/>
        <v/>
      </c>
      <c r="AJ22" s="1"/>
      <c r="AK22" s="1" t="str">
        <f t="shared" si="38"/>
        <v/>
      </c>
    </row>
    <row r="23" ht="12.75" customHeight="1">
      <c r="A23" s="26" t="s">
        <v>21</v>
      </c>
      <c r="B23" s="21"/>
      <c r="C23" s="20"/>
      <c r="D23" s="26"/>
      <c r="E23" s="26"/>
      <c r="F23" s="26"/>
      <c r="G23" s="27"/>
      <c r="H23" s="21"/>
      <c r="I23" s="27"/>
      <c r="J23" s="1" t="str">
        <f t="shared" ref="J23:N23" si="42">IF(C23="","", LOOKUP(C23, $D$160:$D$223, E$160:E$223))</f>
        <v/>
      </c>
      <c r="K23" s="1" t="str">
        <f t="shared" si="42"/>
        <v/>
      </c>
      <c r="L23" s="1" t="str">
        <f t="shared" si="42"/>
        <v/>
      </c>
      <c r="M23" s="1" t="str">
        <f t="shared" si="42"/>
        <v/>
      </c>
      <c r="N23" s="1" t="str">
        <f t="shared" si="42"/>
        <v/>
      </c>
      <c r="O23" s="1" t="str">
        <f t="shared" si="35"/>
        <v/>
      </c>
      <c r="P23" s="1" t="str">
        <f t="shared" si="36"/>
        <v/>
      </c>
      <c r="Q23" s="1"/>
      <c r="R23" s="1" t="str">
        <f t="shared" si="40"/>
        <v/>
      </c>
      <c r="S23" s="1"/>
      <c r="T23" s="28" t="s">
        <v>22</v>
      </c>
      <c r="U23" s="21"/>
      <c r="V23" s="20"/>
      <c r="W23" s="20"/>
      <c r="X23" s="20"/>
      <c r="Y23" s="20"/>
      <c r="Z23" s="20"/>
      <c r="AA23" s="28"/>
      <c r="AB23" s="30"/>
      <c r="AC23" s="1" t="str">
        <f t="shared" ref="AC23:AG23" si="43">IF(V23="","", LOOKUP(V23, $D$160:$D$223, E$160:E$223))</f>
        <v/>
      </c>
      <c r="AD23" s="1" t="str">
        <f t="shared" si="43"/>
        <v/>
      </c>
      <c r="AE23" s="1" t="str">
        <f t="shared" si="43"/>
        <v/>
      </c>
      <c r="AF23" s="1" t="str">
        <f t="shared" si="43"/>
        <v/>
      </c>
      <c r="AG23" s="1" t="str">
        <f t="shared" si="43"/>
        <v/>
      </c>
      <c r="AH23" s="1" t="str">
        <f t="shared" si="32"/>
        <v/>
      </c>
      <c r="AI23" s="1" t="str">
        <f t="shared" si="33"/>
        <v/>
      </c>
      <c r="AJ23" s="1"/>
      <c r="AK23" s="1" t="str">
        <f t="shared" ref="AK23:AK24" si="46">IF(AI23="", "", AI23-AB23-1-AI24)</f>
        <v/>
      </c>
    </row>
    <row r="24" ht="12.75" customHeight="1">
      <c r="A24" s="28" t="s">
        <v>22</v>
      </c>
      <c r="B24" s="21"/>
      <c r="C24" s="20"/>
      <c r="D24" s="20"/>
      <c r="E24" s="20"/>
      <c r="F24" s="20"/>
      <c r="G24" s="20"/>
      <c r="H24" s="28"/>
      <c r="I24" s="30"/>
      <c r="J24" s="1" t="str">
        <f t="shared" ref="J24:N24" si="44">IF(C24="","", LOOKUP(C24, $D$160:$D$223, E$160:E$223))</f>
        <v/>
      </c>
      <c r="K24" s="1" t="str">
        <f t="shared" si="44"/>
        <v/>
      </c>
      <c r="L24" s="1" t="str">
        <f t="shared" si="44"/>
        <v/>
      </c>
      <c r="M24" s="1" t="str">
        <f t="shared" si="44"/>
        <v/>
      </c>
      <c r="N24" s="1" t="str">
        <f t="shared" si="44"/>
        <v/>
      </c>
      <c r="O24" s="36" t="str">
        <f t="shared" si="35"/>
        <v/>
      </c>
      <c r="P24" s="1" t="str">
        <f t="shared" si="36"/>
        <v/>
      </c>
      <c r="Q24" s="1"/>
      <c r="R24" s="1" t="str">
        <f t="shared" ref="R24:R25" si="48">IF(P24="", "", P24-I24-1-P25)</f>
        <v/>
      </c>
      <c r="S24" s="1"/>
      <c r="T24" s="2"/>
      <c r="U24" s="21"/>
      <c r="V24" s="20"/>
      <c r="W24" s="20"/>
      <c r="X24" s="20"/>
      <c r="Y24" s="20"/>
      <c r="Z24" s="20"/>
      <c r="AA24" s="31"/>
      <c r="AB24" s="33"/>
      <c r="AC24" s="1" t="str">
        <f t="shared" ref="AC24:AG24" si="45">IF(V24="","", LOOKUP(V24, $D$160:$D$223, E$160:E$223))</f>
        <v/>
      </c>
      <c r="AD24" s="1" t="str">
        <f t="shared" si="45"/>
        <v/>
      </c>
      <c r="AE24" s="1" t="str">
        <f t="shared" si="45"/>
        <v/>
      </c>
      <c r="AF24" s="1" t="str">
        <f t="shared" si="45"/>
        <v/>
      </c>
      <c r="AG24" s="1" t="str">
        <f t="shared" si="45"/>
        <v/>
      </c>
      <c r="AH24" s="1" t="str">
        <f t="shared" si="32"/>
        <v/>
      </c>
      <c r="AI24" s="1" t="str">
        <f t="shared" si="33"/>
        <v/>
      </c>
      <c r="AJ24" s="1"/>
      <c r="AK24" s="1" t="str">
        <f t="shared" si="46"/>
        <v/>
      </c>
    </row>
    <row r="25" ht="12.75" customHeight="1">
      <c r="A25" s="1"/>
      <c r="B25" s="21"/>
      <c r="C25" s="20"/>
      <c r="D25" s="20"/>
      <c r="E25" s="20"/>
      <c r="F25" s="20"/>
      <c r="G25" s="20"/>
      <c r="H25" s="31"/>
      <c r="I25" s="33"/>
      <c r="J25" s="1" t="str">
        <f t="shared" ref="J25:N25" si="47">IF(C25="","", LOOKUP(C25, $D$160:$D$223, E$160:E$223))</f>
        <v/>
      </c>
      <c r="K25" s="1" t="str">
        <f t="shared" si="47"/>
        <v/>
      </c>
      <c r="L25" s="1" t="str">
        <f t="shared" si="47"/>
        <v/>
      </c>
      <c r="M25" s="1" t="str">
        <f t="shared" si="47"/>
        <v/>
      </c>
      <c r="N25" s="1" t="str">
        <f t="shared" si="47"/>
        <v/>
      </c>
      <c r="O25" s="1" t="str">
        <f t="shared" si="35"/>
        <v/>
      </c>
      <c r="P25" s="1" t="str">
        <f t="shared" si="36"/>
        <v/>
      </c>
      <c r="Q25" s="1"/>
      <c r="R25" s="1" t="str">
        <f t="shared" si="48"/>
        <v/>
      </c>
      <c r="S25" s="1"/>
      <c r="T25" s="2"/>
      <c r="U25" s="2"/>
      <c r="V25" s="2" t="s">
        <v>12</v>
      </c>
      <c r="W25" s="2" t="s">
        <v>13</v>
      </c>
      <c r="X25" s="2" t="s">
        <v>14</v>
      </c>
      <c r="Y25" s="2" t="s">
        <v>15</v>
      </c>
      <c r="Z25" s="2" t="s">
        <v>16</v>
      </c>
      <c r="AA25" s="2" t="s">
        <v>17</v>
      </c>
      <c r="AB25" s="2" t="s">
        <v>18</v>
      </c>
      <c r="AC25" s="1"/>
      <c r="AD25" s="1"/>
      <c r="AE25" s="1"/>
      <c r="AF25" s="1"/>
      <c r="AG25" s="1"/>
      <c r="AH25" s="1"/>
      <c r="AI25" s="1"/>
      <c r="AJ25" s="1"/>
      <c r="AK25" s="1"/>
    </row>
    <row r="26" ht="12.75" customHeight="1">
      <c r="A26" s="1"/>
      <c r="B26" s="2"/>
      <c r="C26" s="2" t="s">
        <v>12</v>
      </c>
      <c r="D26" s="2" t="s">
        <v>13</v>
      </c>
      <c r="E26" s="2" t="s">
        <v>14</v>
      </c>
      <c r="F26" s="2" t="s">
        <v>15</v>
      </c>
      <c r="G26" s="2" t="s">
        <v>16</v>
      </c>
      <c r="H26" s="2" t="s">
        <v>17</v>
      </c>
      <c r="I26" s="2" t="s">
        <v>18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7" t="s">
        <v>19</v>
      </c>
      <c r="U26" s="18">
        <v>12.0</v>
      </c>
      <c r="V26" s="19"/>
      <c r="W26" s="20"/>
      <c r="X26" s="21"/>
      <c r="Y26" s="21"/>
      <c r="Z26" s="21"/>
      <c r="AA26" s="20"/>
      <c r="AB26" s="35"/>
      <c r="AC26" s="1" t="str">
        <f t="shared" ref="AC26:AG26" si="49">IF(V26="","", LOOKUP(V26, $D$160:$D$223, E$160:E$223))</f>
        <v/>
      </c>
      <c r="AD26" s="1" t="str">
        <f t="shared" si="49"/>
        <v/>
      </c>
      <c r="AE26" s="1" t="str">
        <f t="shared" si="49"/>
        <v/>
      </c>
      <c r="AF26" s="1" t="str">
        <f t="shared" si="49"/>
        <v/>
      </c>
      <c r="AG26" s="1" t="str">
        <f t="shared" si="49"/>
        <v/>
      </c>
      <c r="AH26" s="1" t="str">
        <f t="shared" ref="AH26:AH31" si="52">if(AA26=1, 1, IF(AA26="", "", If(AA26&gt;$K$212, $L$212, if(AA26&gt;$K$211, $L$211, if(AA26&gt;$K$210, $L$210, if(AA26&gt;$K$209, $L$209, if(AA26&gt;$K$208, $L$208, if(AA26&gt;$K$206, $L$206, if(AA26&gt;$K$204, $L$204, if(AA26&gt;$K$202, $L$202, if(AA26&gt;$K$200, $L$200, if(AA26&gt;$K$198, $L$198, if(AA26&gt;$K$194, $L$194, if(AA26&gt;$K$190, $L$190, if(AA26&gt;$K$186, $L$186, if(AA26&gt;$K$182, $L$182, if(AA26&gt;$K$178, $L$178, $L$178)))))))))))))))))</f>
        <v/>
      </c>
      <c r="AI26" s="1" t="str">
        <f t="shared" ref="AI26:AI31" si="53">IF(SUM(AC26:AH26)=0, "", SUM(AC26:AH26))</f>
        <v/>
      </c>
      <c r="AJ26" s="1"/>
      <c r="AK26" s="1" t="str">
        <f>IF(AI26="", "", IF(AI27="", IF(AI28="",AI26-AB26-1-AI29, AI26-AB26-1-AI28), AI26-AB26-1-AI27))</f>
        <v/>
      </c>
    </row>
    <row r="27" ht="12.75" customHeight="1">
      <c r="A27" s="17" t="s">
        <v>19</v>
      </c>
      <c r="B27" s="18">
        <v>3.0</v>
      </c>
      <c r="C27" s="17"/>
      <c r="D27" s="35"/>
      <c r="E27" s="35"/>
      <c r="F27" s="35"/>
      <c r="G27" s="35"/>
      <c r="H27" s="35"/>
      <c r="I27" s="22"/>
      <c r="J27" s="1" t="str">
        <f t="shared" ref="J27:N27" si="50">IF(C27="","", LOOKUP(C27, $D$160:$D$223, E$160:E$223))</f>
        <v/>
      </c>
      <c r="K27" s="1" t="str">
        <f t="shared" si="50"/>
        <v/>
      </c>
      <c r="L27" s="1" t="str">
        <f t="shared" si="50"/>
        <v/>
      </c>
      <c r="M27" s="1" t="str">
        <f t="shared" si="50"/>
        <v/>
      </c>
      <c r="N27" s="1" t="str">
        <f t="shared" si="50"/>
        <v/>
      </c>
      <c r="O27" s="1" t="str">
        <f t="shared" ref="O27:O32" si="55">if(H27=1, 1, IF(H27="", "", If(H27&gt;$K$212, $L$212, if(H27&gt;$K$211, $L$211, if(H27&gt;$K$210, $L$210, if(H27&gt;$K$209, $L$209, if(H27&gt;$K$208, $L$208, if(H27&gt;$K$206, $L$206, if(H27&gt;$K$204, $L$204, if(H27&gt;$K$202, $L$202, if(H27&gt;$K$200, $L$200, if(H27&gt;$K$198, $L$198, if(H27&gt;$K$194, $L$194, if(H27&gt;$K$190, $L$190, if(H27&gt;$K$186, $L$186, if(H27&gt;$K$182, $L$182, if(H27&gt;$K$178, $L$178, $L$178)))))))))))))))))</f>
        <v/>
      </c>
      <c r="P27" s="1" t="str">
        <f t="shared" ref="P27:P32" si="56">IF(SUM(J27:O27)=0, "", SUM(J27:O27))</f>
        <v/>
      </c>
      <c r="Q27" s="1"/>
      <c r="R27" s="1" t="str">
        <f>IF(P27="", "", IF(P28="", IF(P29="",P27-I27-1-P30, P27-I27-1-P29), P27-I27-1-P28))</f>
        <v/>
      </c>
      <c r="S27" s="1"/>
      <c r="T27" s="23" t="s">
        <v>20</v>
      </c>
      <c r="U27" s="21"/>
      <c r="V27" s="20"/>
      <c r="W27" s="24"/>
      <c r="X27" s="23"/>
      <c r="Y27" s="24"/>
      <c r="Z27" s="24"/>
      <c r="AA27" s="20"/>
      <c r="AB27" s="24"/>
      <c r="AC27" s="1" t="str">
        <f t="shared" ref="AC27:AG27" si="51">IF(V27="","", LOOKUP(V27, $D$160:$D$223, E$160:E$223))</f>
        <v/>
      </c>
      <c r="AD27" s="1" t="str">
        <f t="shared" si="51"/>
        <v/>
      </c>
      <c r="AE27" s="1" t="str">
        <f t="shared" si="51"/>
        <v/>
      </c>
      <c r="AF27" s="1" t="str">
        <f t="shared" si="51"/>
        <v/>
      </c>
      <c r="AG27" s="1" t="str">
        <f t="shared" si="51"/>
        <v/>
      </c>
      <c r="AH27" s="1" t="str">
        <f t="shared" si="52"/>
        <v/>
      </c>
      <c r="AI27" s="1" t="str">
        <f t="shared" si="53"/>
        <v/>
      </c>
      <c r="AJ27" s="1"/>
      <c r="AK27" s="1" t="str">
        <f t="shared" ref="AK27:AK29" si="58">IF(AI27="", "", IF(AI28="", AI27-AB27-1-AI29, AI27-AB27-1-AI28))</f>
        <v/>
      </c>
    </row>
    <row r="28" ht="12.75" customHeight="1">
      <c r="A28" s="23" t="s">
        <v>20</v>
      </c>
      <c r="B28" s="21"/>
      <c r="C28" s="20"/>
      <c r="D28" s="24"/>
      <c r="E28" s="23"/>
      <c r="F28" s="24"/>
      <c r="G28" s="24"/>
      <c r="H28" s="20"/>
      <c r="I28" s="24"/>
      <c r="J28" s="1" t="str">
        <f t="shared" ref="J28:N28" si="54">IF(C28="","", LOOKUP(C28, $D$160:$D$223, E$160:E$223))</f>
        <v/>
      </c>
      <c r="K28" s="1" t="str">
        <f t="shared" si="54"/>
        <v/>
      </c>
      <c r="L28" s="1" t="str">
        <f t="shared" si="54"/>
        <v/>
      </c>
      <c r="M28" s="1" t="str">
        <f t="shared" si="54"/>
        <v/>
      </c>
      <c r="N28" s="1" t="str">
        <f t="shared" si="54"/>
        <v/>
      </c>
      <c r="O28" s="1" t="str">
        <f t="shared" si="55"/>
        <v/>
      </c>
      <c r="P28" s="1" t="str">
        <f t="shared" si="56"/>
        <v/>
      </c>
      <c r="Q28" s="1"/>
      <c r="R28" s="1" t="str">
        <f t="shared" ref="R28:R30" si="60">IF(P28="", "", IF(P29="", P28-I28-1-P30, P28-I28-1-P29))</f>
        <v/>
      </c>
      <c r="S28" s="1"/>
      <c r="U28" s="21"/>
      <c r="V28" s="23"/>
      <c r="W28" s="24"/>
      <c r="X28" s="23"/>
      <c r="Y28" s="24"/>
      <c r="Z28" s="24"/>
      <c r="AA28" s="20"/>
      <c r="AB28" s="24"/>
      <c r="AC28" s="1" t="str">
        <f t="shared" ref="AC28:AG28" si="57">IF(V28="","", LOOKUP(V28, $D$160:$D$223, E$160:E$223))</f>
        <v/>
      </c>
      <c r="AD28" s="1" t="str">
        <f t="shared" si="57"/>
        <v/>
      </c>
      <c r="AE28" s="1" t="str">
        <f t="shared" si="57"/>
        <v/>
      </c>
      <c r="AF28" s="1" t="str">
        <f t="shared" si="57"/>
        <v/>
      </c>
      <c r="AG28" s="1" t="str">
        <f t="shared" si="57"/>
        <v/>
      </c>
      <c r="AH28" s="1" t="str">
        <f t="shared" si="52"/>
        <v/>
      </c>
      <c r="AI28" s="1" t="str">
        <f t="shared" si="53"/>
        <v/>
      </c>
      <c r="AJ28" s="1"/>
      <c r="AK28" s="1" t="str">
        <f t="shared" si="58"/>
        <v/>
      </c>
    </row>
    <row r="29" ht="12.75" customHeight="1">
      <c r="B29" s="21"/>
      <c r="C29" s="23"/>
      <c r="D29" s="24"/>
      <c r="E29" s="23"/>
      <c r="F29" s="24"/>
      <c r="G29" s="24"/>
      <c r="H29" s="20"/>
      <c r="I29" s="24"/>
      <c r="J29" s="1" t="str">
        <f t="shared" ref="J29:N29" si="59">IF(C29="","", LOOKUP(C29, $D$160:$D$223, E$160:E$223))</f>
        <v/>
      </c>
      <c r="K29" s="1" t="str">
        <f t="shared" si="59"/>
        <v/>
      </c>
      <c r="L29" s="1" t="str">
        <f t="shared" si="59"/>
        <v/>
      </c>
      <c r="M29" s="1" t="str">
        <f t="shared" si="59"/>
        <v/>
      </c>
      <c r="N29" s="1" t="str">
        <f t="shared" si="59"/>
        <v/>
      </c>
      <c r="O29" s="1" t="str">
        <f t="shared" si="55"/>
        <v/>
      </c>
      <c r="P29" s="1" t="str">
        <f t="shared" si="56"/>
        <v/>
      </c>
      <c r="Q29" s="1"/>
      <c r="R29" s="1" t="str">
        <f t="shared" si="60"/>
        <v/>
      </c>
      <c r="S29" s="1"/>
      <c r="T29" s="26" t="s">
        <v>21</v>
      </c>
      <c r="U29" s="21"/>
      <c r="V29" s="20"/>
      <c r="W29" s="26"/>
      <c r="X29" s="26"/>
      <c r="Y29" s="26"/>
      <c r="Z29" s="27"/>
      <c r="AA29" s="21"/>
      <c r="AB29" s="37"/>
      <c r="AC29" s="1" t="str">
        <f t="shared" ref="AC29:AG29" si="61">IF(V29="","", LOOKUP(V29, $D$160:$D$223, E$160:E$223))</f>
        <v/>
      </c>
      <c r="AD29" s="36" t="str">
        <f t="shared" si="61"/>
        <v/>
      </c>
      <c r="AE29" s="1" t="str">
        <f t="shared" si="61"/>
        <v/>
      </c>
      <c r="AF29" s="1" t="str">
        <f t="shared" si="61"/>
        <v/>
      </c>
      <c r="AG29" s="1" t="str">
        <f t="shared" si="61"/>
        <v/>
      </c>
      <c r="AH29" s="1" t="str">
        <f t="shared" si="52"/>
        <v/>
      </c>
      <c r="AI29" s="1" t="str">
        <f t="shared" si="53"/>
        <v/>
      </c>
      <c r="AJ29" s="1"/>
      <c r="AK29" s="1" t="str">
        <f t="shared" si="58"/>
        <v/>
      </c>
    </row>
    <row r="30" ht="12.75" customHeight="1">
      <c r="A30" s="26" t="s">
        <v>21</v>
      </c>
      <c r="B30" s="21"/>
      <c r="C30" s="20"/>
      <c r="D30" s="26"/>
      <c r="E30" s="26"/>
      <c r="F30" s="26"/>
      <c r="G30" s="27"/>
      <c r="H30" s="21"/>
      <c r="I30" s="27"/>
      <c r="J30" s="1" t="str">
        <f t="shared" ref="J30:N30" si="62">IF(C30="","", LOOKUP(C30, $D$160:$D$223, E$160:E$223))</f>
        <v/>
      </c>
      <c r="K30" s="1" t="str">
        <f t="shared" si="62"/>
        <v/>
      </c>
      <c r="L30" s="1" t="str">
        <f t="shared" si="62"/>
        <v/>
      </c>
      <c r="M30" s="1" t="str">
        <f t="shared" si="62"/>
        <v/>
      </c>
      <c r="N30" s="1" t="str">
        <f t="shared" si="62"/>
        <v/>
      </c>
      <c r="O30" s="1" t="str">
        <f t="shared" si="55"/>
        <v/>
      </c>
      <c r="P30" s="1" t="str">
        <f t="shared" si="56"/>
        <v/>
      </c>
      <c r="Q30" s="1"/>
      <c r="R30" s="1" t="str">
        <f t="shared" si="60"/>
        <v/>
      </c>
      <c r="S30" s="1"/>
      <c r="T30" s="28" t="s">
        <v>22</v>
      </c>
      <c r="U30" s="21"/>
      <c r="V30" s="20"/>
      <c r="W30" s="20"/>
      <c r="X30" s="20"/>
      <c r="Y30" s="20"/>
      <c r="Z30" s="20"/>
      <c r="AA30" s="28"/>
      <c r="AB30" s="30"/>
      <c r="AC30" s="1" t="str">
        <f t="shared" ref="AC30:AG30" si="63">IF(V30="","", LOOKUP(V30, $D$160:$D$223, E$160:E$223))</f>
        <v/>
      </c>
      <c r="AD30" s="1" t="str">
        <f t="shared" si="63"/>
        <v/>
      </c>
      <c r="AE30" s="1" t="str">
        <f t="shared" si="63"/>
        <v/>
      </c>
      <c r="AF30" s="1" t="str">
        <f t="shared" si="63"/>
        <v/>
      </c>
      <c r="AG30" s="1" t="str">
        <f t="shared" si="63"/>
        <v/>
      </c>
      <c r="AH30" s="1" t="str">
        <f t="shared" si="52"/>
        <v/>
      </c>
      <c r="AI30" s="1" t="str">
        <f t="shared" si="53"/>
        <v/>
      </c>
      <c r="AJ30" s="1"/>
      <c r="AK30" s="1" t="str">
        <f t="shared" ref="AK30:AK31" si="66">IF(AI30="", "", AI30-AB30-1-AI31)</f>
        <v/>
      </c>
    </row>
    <row r="31" ht="12.75" customHeight="1">
      <c r="A31" s="28" t="s">
        <v>22</v>
      </c>
      <c r="B31" s="21"/>
      <c r="C31" s="20"/>
      <c r="D31" s="20"/>
      <c r="E31" s="20"/>
      <c r="F31" s="20"/>
      <c r="G31" s="20"/>
      <c r="H31" s="28"/>
      <c r="I31" s="30"/>
      <c r="J31" s="1" t="str">
        <f t="shared" ref="J31:N31" si="64">IF(C31="","", LOOKUP(C31, $D$160:$D$223, E$160:E$223))</f>
        <v/>
      </c>
      <c r="K31" s="1" t="str">
        <f t="shared" si="64"/>
        <v/>
      </c>
      <c r="L31" s="1" t="str">
        <f t="shared" si="64"/>
        <v/>
      </c>
      <c r="M31" s="1" t="str">
        <f t="shared" si="64"/>
        <v/>
      </c>
      <c r="N31" s="1" t="str">
        <f t="shared" si="64"/>
        <v/>
      </c>
      <c r="O31" s="1" t="str">
        <f t="shared" si="55"/>
        <v/>
      </c>
      <c r="P31" s="1" t="str">
        <f t="shared" si="56"/>
        <v/>
      </c>
      <c r="Q31" s="1"/>
      <c r="R31" s="1" t="str">
        <f t="shared" ref="R31:R32" si="68">IF(P31="", "", P31-I31-1-P32)</f>
        <v/>
      </c>
      <c r="S31" s="1"/>
      <c r="T31" s="1"/>
      <c r="U31" s="21"/>
      <c r="V31" s="20"/>
      <c r="W31" s="20"/>
      <c r="X31" s="20"/>
      <c r="Y31" s="20"/>
      <c r="Z31" s="20"/>
      <c r="AA31" s="31"/>
      <c r="AB31" s="32"/>
      <c r="AC31" s="1" t="str">
        <f t="shared" ref="AC31:AG31" si="65">IF(V31="","", LOOKUP(V31, $D$160:$D$223, E$160:E$223))</f>
        <v/>
      </c>
      <c r="AD31" s="1" t="str">
        <f t="shared" si="65"/>
        <v/>
      </c>
      <c r="AE31" s="1" t="str">
        <f t="shared" si="65"/>
        <v/>
      </c>
      <c r="AF31" s="1" t="str">
        <f t="shared" si="65"/>
        <v/>
      </c>
      <c r="AG31" s="1" t="str">
        <f t="shared" si="65"/>
        <v/>
      </c>
      <c r="AH31" s="1" t="str">
        <f t="shared" si="52"/>
        <v/>
      </c>
      <c r="AI31" s="1" t="str">
        <f t="shared" si="53"/>
        <v/>
      </c>
      <c r="AJ31" s="1"/>
      <c r="AK31" s="1" t="str">
        <f t="shared" si="66"/>
        <v/>
      </c>
    </row>
    <row r="32" ht="12.75" customHeight="1">
      <c r="A32" s="1"/>
      <c r="B32" s="21"/>
      <c r="C32" s="20"/>
      <c r="D32" s="20"/>
      <c r="E32" s="20"/>
      <c r="F32" s="20"/>
      <c r="G32" s="20"/>
      <c r="H32" s="31"/>
      <c r="I32" s="33"/>
      <c r="J32" s="1" t="str">
        <f t="shared" ref="J32:N32" si="67">IF(C32="","", LOOKUP(C32, $D$160:$D$223, E$160:E$223))</f>
        <v/>
      </c>
      <c r="K32" s="1" t="str">
        <f t="shared" si="67"/>
        <v/>
      </c>
      <c r="L32" s="1" t="str">
        <f t="shared" si="67"/>
        <v/>
      </c>
      <c r="M32" s="1" t="str">
        <f t="shared" si="67"/>
        <v/>
      </c>
      <c r="N32" s="1" t="str">
        <f t="shared" si="67"/>
        <v/>
      </c>
      <c r="O32" s="1" t="str">
        <f t="shared" si="55"/>
        <v/>
      </c>
      <c r="P32" s="1" t="str">
        <f t="shared" si="56"/>
        <v/>
      </c>
      <c r="Q32" s="1"/>
      <c r="R32" s="1" t="str">
        <f t="shared" si="68"/>
        <v/>
      </c>
      <c r="S32" s="1"/>
      <c r="T32" s="1"/>
      <c r="U32" s="1"/>
      <c r="V32" s="2" t="s">
        <v>12</v>
      </c>
      <c r="W32" s="2" t="s">
        <v>13</v>
      </c>
      <c r="X32" s="2" t="s">
        <v>14</v>
      </c>
      <c r="Y32" s="2" t="s">
        <v>15</v>
      </c>
      <c r="Z32" s="2" t="s">
        <v>16</v>
      </c>
      <c r="AA32" s="2" t="s">
        <v>17</v>
      </c>
      <c r="AB32" s="2" t="s">
        <v>18</v>
      </c>
      <c r="AC32" s="1"/>
      <c r="AD32" s="1"/>
      <c r="AE32" s="1"/>
      <c r="AF32" s="1"/>
      <c r="AG32" s="1"/>
      <c r="AH32" s="1"/>
      <c r="AI32" s="1"/>
      <c r="AJ32" s="1"/>
      <c r="AK32" s="1"/>
    </row>
    <row r="33" ht="12.75" customHeight="1">
      <c r="A33" s="1"/>
      <c r="B33" s="2"/>
      <c r="C33" s="2" t="s">
        <v>12</v>
      </c>
      <c r="D33" s="2" t="s">
        <v>13</v>
      </c>
      <c r="E33" s="2" t="s">
        <v>14</v>
      </c>
      <c r="F33" s="2" t="s">
        <v>15</v>
      </c>
      <c r="G33" s="2" t="s">
        <v>16</v>
      </c>
      <c r="H33" s="2" t="s">
        <v>17</v>
      </c>
      <c r="I33" s="2" t="s">
        <v>18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7" t="s">
        <v>19</v>
      </c>
      <c r="U33" s="18">
        <v>13.0</v>
      </c>
      <c r="V33" s="19"/>
      <c r="W33" s="20"/>
      <c r="X33" s="21"/>
      <c r="Y33" s="21"/>
      <c r="Z33" s="21"/>
      <c r="AA33" s="20"/>
      <c r="AB33" s="35"/>
      <c r="AC33" s="1" t="str">
        <f t="shared" ref="AC33:AG33" si="69">IF(V33="","", LOOKUP(V33, $D$160:$D$223, E$160:E$223))</f>
        <v/>
      </c>
      <c r="AD33" s="1" t="str">
        <f t="shared" si="69"/>
        <v/>
      </c>
      <c r="AE33" s="1" t="str">
        <f t="shared" si="69"/>
        <v/>
      </c>
      <c r="AF33" s="1" t="str">
        <f t="shared" si="69"/>
        <v/>
      </c>
      <c r="AG33" s="1" t="str">
        <f t="shared" si="69"/>
        <v/>
      </c>
      <c r="AH33" s="1" t="str">
        <f t="shared" ref="AH33:AH38" si="72">if(AA33=1, 1, IF(AA33="", "", If(AA33&gt;$K$212, $L$212, if(AA33&gt;$K$211, $L$211, if(AA33&gt;$K$210, $L$210, if(AA33&gt;$K$209, $L$209, if(AA33&gt;$K$208, $L$208, if(AA33&gt;$K$206, $L$206, if(AA33&gt;$K$204, $L$204, if(AA33&gt;$K$202, $L$202, if(AA33&gt;$K$200, $L$200, if(AA33&gt;$K$198, $L$198, if(AA33&gt;$K$194, $L$194, if(AA33&gt;$K$190, $L$190, if(AA33&gt;$K$186, $L$186, if(AA33&gt;$K$182, $L$182, if(AA33&gt;$K$178, $L$178, $L$178)))))))))))))))))</f>
        <v/>
      </c>
      <c r="AI33" s="1" t="str">
        <f t="shared" ref="AI33:AI38" si="73">IF(SUM(AC33:AH33)=0, "", SUM(AC33:AH33))</f>
        <v/>
      </c>
      <c r="AJ33" s="1"/>
      <c r="AK33" s="1" t="str">
        <f>IF(AI33="", "", IF(AI34="", IF(AI35="",AI33-AB33-1-AI36, AI33-AB33-1-AI35), AI33-AB33-1-AI34))</f>
        <v/>
      </c>
    </row>
    <row r="34" ht="12.75" customHeight="1">
      <c r="A34" s="17" t="s">
        <v>19</v>
      </c>
      <c r="B34" s="18">
        <v>4.0</v>
      </c>
      <c r="C34" s="19"/>
      <c r="D34" s="20"/>
      <c r="E34" s="21"/>
      <c r="F34" s="21"/>
      <c r="G34" s="21"/>
      <c r="H34" s="20"/>
      <c r="I34" s="35"/>
      <c r="J34" s="1" t="str">
        <f t="shared" ref="J34:N34" si="70">IF(C34="","", LOOKUP(C34, $D$160:$D$223, E$160:E$223))</f>
        <v/>
      </c>
      <c r="K34" s="1" t="str">
        <f t="shared" si="70"/>
        <v/>
      </c>
      <c r="L34" s="1" t="str">
        <f t="shared" si="70"/>
        <v/>
      </c>
      <c r="M34" s="1" t="str">
        <f t="shared" si="70"/>
        <v/>
      </c>
      <c r="N34" s="1" t="str">
        <f t="shared" si="70"/>
        <v/>
      </c>
      <c r="O34" s="1" t="str">
        <f t="shared" ref="O34:O39" si="75">if(H34=1, 1, IF(H34="", "", If(H34&gt;$K$212, $L$212, if(H34&gt;$K$211, $L$211, if(H34&gt;$K$210, $L$210, if(H34&gt;$K$209, $L$209, if(H34&gt;$K$208, $L$208, if(H34&gt;$K$206, $L$206, if(H34&gt;$K$204, $L$204, if(H34&gt;$K$202, $L$202, if(H34&gt;$K$200, $L$200, if(H34&gt;$K$198, $L$198, if(H34&gt;$K$194, $L$194, if(H34&gt;$K$190, $L$190, if(H34&gt;$K$186, $L$186, if(H34&gt;$K$182, $L$182, if(H34&gt;$K$178, $L$178, $L$178)))))))))))))))))</f>
        <v/>
      </c>
      <c r="P34" s="1" t="str">
        <f t="shared" ref="P34:P39" si="76">IF(SUM(J34:O34)=0, "", SUM(J34:O34))</f>
        <v/>
      </c>
      <c r="Q34" s="1"/>
      <c r="R34" s="1" t="str">
        <f>IF(P34="", "", IF(P35="", IF(P36="",P34-I34-1-P37, P34-I34-1-P36), P34-I34-1-P35))</f>
        <v/>
      </c>
      <c r="S34" s="1"/>
      <c r="T34" s="23" t="s">
        <v>20</v>
      </c>
      <c r="U34" s="21"/>
      <c r="V34" s="20"/>
      <c r="W34" s="24"/>
      <c r="X34" s="23"/>
      <c r="Y34" s="24"/>
      <c r="Z34" s="24"/>
      <c r="AA34" s="20"/>
      <c r="AB34" s="24"/>
      <c r="AC34" s="1" t="str">
        <f t="shared" ref="AC34:AG34" si="71">IF(V34="","", LOOKUP(V34, $D$160:$D$223, E$160:E$223))</f>
        <v/>
      </c>
      <c r="AD34" s="1" t="str">
        <f t="shared" si="71"/>
        <v/>
      </c>
      <c r="AE34" s="1" t="str">
        <f t="shared" si="71"/>
        <v/>
      </c>
      <c r="AF34" s="1" t="str">
        <f t="shared" si="71"/>
        <v/>
      </c>
      <c r="AG34" s="1" t="str">
        <f t="shared" si="71"/>
        <v/>
      </c>
      <c r="AH34" s="1" t="str">
        <f t="shared" si="72"/>
        <v/>
      </c>
      <c r="AI34" s="1" t="str">
        <f t="shared" si="73"/>
        <v/>
      </c>
      <c r="AJ34" s="1"/>
      <c r="AK34" s="1" t="str">
        <f t="shared" ref="AK34:AK36" si="78">IF(AI34="", "", IF(AI35="", AI34-AB34-1-AI36, AI34-AB34-1-AI35))</f>
        <v/>
      </c>
    </row>
    <row r="35" ht="12.75" customHeight="1">
      <c r="A35" s="23" t="s">
        <v>20</v>
      </c>
      <c r="B35" s="21"/>
      <c r="C35" s="20"/>
      <c r="D35" s="24"/>
      <c r="E35" s="23"/>
      <c r="F35" s="24"/>
      <c r="G35" s="25"/>
      <c r="H35" s="20"/>
      <c r="I35" s="24"/>
      <c r="J35" s="1" t="str">
        <f t="shared" ref="J35:N35" si="74">IF(C35="","", LOOKUP(C35, $D$160:$D$223, E$160:E$223))</f>
        <v/>
      </c>
      <c r="K35" s="1" t="str">
        <f t="shared" si="74"/>
        <v/>
      </c>
      <c r="L35" s="1" t="str">
        <f t="shared" si="74"/>
        <v/>
      </c>
      <c r="M35" s="1" t="str">
        <f t="shared" si="74"/>
        <v/>
      </c>
      <c r="N35" s="1" t="str">
        <f t="shared" si="74"/>
        <v/>
      </c>
      <c r="O35" s="1" t="str">
        <f t="shared" si="75"/>
        <v/>
      </c>
      <c r="P35" s="1" t="str">
        <f t="shared" si="76"/>
        <v/>
      </c>
      <c r="Q35" s="1"/>
      <c r="R35" s="1" t="str">
        <f t="shared" ref="R35:R37" si="80">IF(P35="", "", IF(P36="", P35-I35-1-P37, P35-I35-1-P36))</f>
        <v/>
      </c>
      <c r="S35" s="1"/>
      <c r="U35" s="21"/>
      <c r="V35" s="24"/>
      <c r="W35" s="23"/>
      <c r="X35" s="23"/>
      <c r="Y35" s="24"/>
      <c r="Z35" s="24"/>
      <c r="AA35" s="20"/>
      <c r="AB35" s="24"/>
      <c r="AC35" s="1" t="str">
        <f t="shared" ref="AC35:AG35" si="77">IF(V35="","", LOOKUP(V35, $D$160:$D$223, E$160:E$223))</f>
        <v/>
      </c>
      <c r="AD35" s="1" t="str">
        <f t="shared" si="77"/>
        <v/>
      </c>
      <c r="AE35" s="1" t="str">
        <f t="shared" si="77"/>
        <v/>
      </c>
      <c r="AF35" s="1" t="str">
        <f t="shared" si="77"/>
        <v/>
      </c>
      <c r="AG35" s="1" t="str">
        <f t="shared" si="77"/>
        <v/>
      </c>
      <c r="AH35" s="1" t="str">
        <f t="shared" si="72"/>
        <v/>
      </c>
      <c r="AI35" s="1" t="str">
        <f t="shared" si="73"/>
        <v/>
      </c>
      <c r="AJ35" s="1"/>
      <c r="AK35" s="1" t="str">
        <f t="shared" si="78"/>
        <v/>
      </c>
    </row>
    <row r="36" ht="12.75" customHeight="1">
      <c r="B36" s="21"/>
      <c r="C36" s="25"/>
      <c r="D36" s="25"/>
      <c r="E36" s="23"/>
      <c r="F36" s="24"/>
      <c r="G36" s="25"/>
      <c r="H36" s="20"/>
      <c r="I36" s="24"/>
      <c r="J36" s="1" t="str">
        <f t="shared" ref="J36:N36" si="79">IF(C36="","", LOOKUP(C36, $D$160:$D$223, E$160:E$223))</f>
        <v/>
      </c>
      <c r="K36" s="1" t="str">
        <f t="shared" si="79"/>
        <v/>
      </c>
      <c r="L36" s="1" t="str">
        <f t="shared" si="79"/>
        <v/>
      </c>
      <c r="M36" s="1" t="str">
        <f t="shared" si="79"/>
        <v/>
      </c>
      <c r="N36" s="1" t="str">
        <f t="shared" si="79"/>
        <v/>
      </c>
      <c r="O36" s="1" t="str">
        <f t="shared" si="75"/>
        <v/>
      </c>
      <c r="P36" s="1" t="str">
        <f t="shared" si="76"/>
        <v/>
      </c>
      <c r="Q36" s="1"/>
      <c r="R36" s="1" t="str">
        <f t="shared" si="80"/>
        <v/>
      </c>
      <c r="S36" s="1"/>
      <c r="T36" s="26" t="s">
        <v>21</v>
      </c>
      <c r="U36" s="21"/>
      <c r="V36" s="20"/>
      <c r="W36" s="26"/>
      <c r="X36" s="26"/>
      <c r="Y36" s="26"/>
      <c r="Z36" s="27"/>
      <c r="AA36" s="21"/>
      <c r="AB36" s="27"/>
      <c r="AC36" s="1" t="str">
        <f t="shared" ref="AC36:AG36" si="81">IF(V36="","", LOOKUP(V36, $D$160:$D$223, E$160:E$223))</f>
        <v/>
      </c>
      <c r="AD36" s="36" t="str">
        <f t="shared" si="81"/>
        <v/>
      </c>
      <c r="AE36" s="1" t="str">
        <f t="shared" si="81"/>
        <v/>
      </c>
      <c r="AF36" s="1" t="str">
        <f t="shared" si="81"/>
        <v/>
      </c>
      <c r="AG36" s="1" t="str">
        <f t="shared" si="81"/>
        <v/>
      </c>
      <c r="AH36" s="1" t="str">
        <f t="shared" si="72"/>
        <v/>
      </c>
      <c r="AI36" s="1" t="str">
        <f t="shared" si="73"/>
        <v/>
      </c>
      <c r="AJ36" s="1"/>
      <c r="AK36" s="1" t="str">
        <f t="shared" si="78"/>
        <v/>
      </c>
    </row>
    <row r="37" ht="12.75" customHeight="1">
      <c r="A37" s="26" t="s">
        <v>21</v>
      </c>
      <c r="B37" s="21"/>
      <c r="C37" s="20"/>
      <c r="D37" s="26"/>
      <c r="E37" s="26"/>
      <c r="F37" s="26"/>
      <c r="G37" s="27"/>
      <c r="H37" s="21"/>
      <c r="I37" s="27"/>
      <c r="J37" s="1" t="str">
        <f t="shared" ref="J37:N37" si="82">IF(C37="","", LOOKUP(C37, $D$160:$D$223, E$160:E$223))</f>
        <v/>
      </c>
      <c r="K37" s="1" t="str">
        <f t="shared" si="82"/>
        <v/>
      </c>
      <c r="L37" s="1" t="str">
        <f t="shared" si="82"/>
        <v/>
      </c>
      <c r="M37" s="1" t="str">
        <f t="shared" si="82"/>
        <v/>
      </c>
      <c r="N37" s="1" t="str">
        <f t="shared" si="82"/>
        <v/>
      </c>
      <c r="O37" s="1" t="str">
        <f t="shared" si="75"/>
        <v/>
      </c>
      <c r="P37" s="1" t="str">
        <f t="shared" si="76"/>
        <v/>
      </c>
      <c r="Q37" s="1"/>
      <c r="R37" s="1" t="str">
        <f t="shared" si="80"/>
        <v/>
      </c>
      <c r="S37" s="1"/>
      <c r="T37" s="28" t="s">
        <v>22</v>
      </c>
      <c r="U37" s="21"/>
      <c r="V37" s="20"/>
      <c r="W37" s="20"/>
      <c r="X37" s="20"/>
      <c r="Y37" s="20"/>
      <c r="Z37" s="20"/>
      <c r="AA37" s="28"/>
      <c r="AB37" s="30"/>
      <c r="AC37" s="1" t="str">
        <f t="shared" ref="AC37:AG37" si="83">IF(V37="","", LOOKUP(V37, $D$160:$D$223, E$160:E$223))</f>
        <v/>
      </c>
      <c r="AD37" s="1" t="str">
        <f t="shared" si="83"/>
        <v/>
      </c>
      <c r="AE37" s="1" t="str">
        <f t="shared" si="83"/>
        <v/>
      </c>
      <c r="AF37" s="1" t="str">
        <f t="shared" si="83"/>
        <v/>
      </c>
      <c r="AG37" s="1" t="str">
        <f t="shared" si="83"/>
        <v/>
      </c>
      <c r="AH37" s="1" t="str">
        <f t="shared" si="72"/>
        <v/>
      </c>
      <c r="AI37" s="1" t="str">
        <f t="shared" si="73"/>
        <v/>
      </c>
      <c r="AJ37" s="1"/>
      <c r="AK37" s="1" t="str">
        <f t="shared" ref="AK37:AK38" si="86">IF(AI37="", "", AI37-AB37-1-AI38)</f>
        <v/>
      </c>
    </row>
    <row r="38" ht="12.75" customHeight="1">
      <c r="A38" s="28" t="s">
        <v>22</v>
      </c>
      <c r="B38" s="21"/>
      <c r="C38" s="20"/>
      <c r="D38" s="20"/>
      <c r="E38" s="20"/>
      <c r="F38" s="20"/>
      <c r="G38" s="20"/>
      <c r="H38" s="28"/>
      <c r="I38" s="29"/>
      <c r="J38" s="1" t="str">
        <f t="shared" ref="J38:N38" si="84">IF(C38="","", LOOKUP(C38, $D$160:$D$223, E$160:E$223))</f>
        <v/>
      </c>
      <c r="K38" s="1" t="str">
        <f t="shared" si="84"/>
        <v/>
      </c>
      <c r="L38" s="1" t="str">
        <f t="shared" si="84"/>
        <v/>
      </c>
      <c r="M38" s="1" t="str">
        <f t="shared" si="84"/>
        <v/>
      </c>
      <c r="N38" s="1" t="str">
        <f t="shared" si="84"/>
        <v/>
      </c>
      <c r="O38" s="1" t="str">
        <f t="shared" si="75"/>
        <v/>
      </c>
      <c r="P38" s="1" t="str">
        <f t="shared" si="76"/>
        <v/>
      </c>
      <c r="Q38" s="1"/>
      <c r="R38" s="1" t="str">
        <f t="shared" ref="R38:R39" si="88">IF(P38="", "", P38-I38-1-P39)</f>
        <v/>
      </c>
      <c r="S38" s="1"/>
      <c r="T38" s="1"/>
      <c r="U38" s="21"/>
      <c r="V38" s="20"/>
      <c r="W38" s="20"/>
      <c r="X38" s="20"/>
      <c r="Y38" s="20"/>
      <c r="Z38" s="20"/>
      <c r="AA38" s="31"/>
      <c r="AB38" s="33"/>
      <c r="AC38" s="1" t="str">
        <f t="shared" ref="AC38:AG38" si="85">IF(V38="","", LOOKUP(V38, $D$160:$D$223, E$160:E$223))</f>
        <v/>
      </c>
      <c r="AD38" s="1" t="str">
        <f t="shared" si="85"/>
        <v/>
      </c>
      <c r="AE38" s="1" t="str">
        <f t="shared" si="85"/>
        <v/>
      </c>
      <c r="AF38" s="1" t="str">
        <f t="shared" si="85"/>
        <v/>
      </c>
      <c r="AG38" s="1" t="str">
        <f t="shared" si="85"/>
        <v/>
      </c>
      <c r="AH38" s="1" t="str">
        <f t="shared" si="72"/>
        <v/>
      </c>
      <c r="AI38" s="1" t="str">
        <f t="shared" si="73"/>
        <v/>
      </c>
      <c r="AJ38" s="1"/>
      <c r="AK38" s="1" t="str">
        <f t="shared" si="86"/>
        <v/>
      </c>
    </row>
    <row r="39" ht="12.75" customHeight="1">
      <c r="A39" s="1"/>
      <c r="B39" s="21"/>
      <c r="C39" s="20"/>
      <c r="D39" s="20"/>
      <c r="E39" s="20"/>
      <c r="F39" s="20"/>
      <c r="G39" s="20"/>
      <c r="H39" s="31"/>
      <c r="I39" s="32"/>
      <c r="J39" s="1" t="str">
        <f t="shared" ref="J39:N39" si="87">IF(C39="","", LOOKUP(C39, $D$160:$D$223, E$160:E$223))</f>
        <v/>
      </c>
      <c r="K39" s="1" t="str">
        <f t="shared" si="87"/>
        <v/>
      </c>
      <c r="L39" s="1" t="str">
        <f t="shared" si="87"/>
        <v/>
      </c>
      <c r="M39" s="1" t="str">
        <f t="shared" si="87"/>
        <v/>
      </c>
      <c r="N39" s="1" t="str">
        <f t="shared" si="87"/>
        <v/>
      </c>
      <c r="O39" s="1" t="str">
        <f t="shared" si="75"/>
        <v/>
      </c>
      <c r="P39" s="1" t="str">
        <f t="shared" si="76"/>
        <v/>
      </c>
      <c r="Q39" s="1"/>
      <c r="R39" s="1" t="str">
        <f t="shared" si="88"/>
        <v/>
      </c>
      <c r="S39" s="1"/>
      <c r="T39" s="1"/>
      <c r="U39" s="1"/>
      <c r="V39" s="2" t="s">
        <v>12</v>
      </c>
      <c r="W39" s="2" t="s">
        <v>13</v>
      </c>
      <c r="X39" s="2" t="s">
        <v>14</v>
      </c>
      <c r="Y39" s="2" t="s">
        <v>15</v>
      </c>
      <c r="Z39" s="2" t="s">
        <v>16</v>
      </c>
      <c r="AA39" s="2" t="s">
        <v>17</v>
      </c>
      <c r="AB39" s="2" t="s">
        <v>18</v>
      </c>
      <c r="AC39" s="1"/>
      <c r="AD39" s="1"/>
      <c r="AE39" s="1"/>
      <c r="AF39" s="1"/>
      <c r="AG39" s="1"/>
      <c r="AH39" s="1"/>
      <c r="AI39" s="1"/>
      <c r="AJ39" s="1"/>
      <c r="AK39" s="1"/>
    </row>
    <row r="40" ht="12.75" customHeight="1">
      <c r="A40" s="1"/>
      <c r="B40" s="2"/>
      <c r="C40" s="2" t="s">
        <v>12</v>
      </c>
      <c r="D40" s="2" t="s">
        <v>13</v>
      </c>
      <c r="E40" s="2" t="s">
        <v>14</v>
      </c>
      <c r="F40" s="2" t="s">
        <v>15</v>
      </c>
      <c r="G40" s="2" t="s">
        <v>16</v>
      </c>
      <c r="H40" s="2" t="s">
        <v>17</v>
      </c>
      <c r="I40" s="2" t="s">
        <v>18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7" t="s">
        <v>19</v>
      </c>
      <c r="U40" s="18">
        <v>14.0</v>
      </c>
      <c r="V40" s="19"/>
      <c r="W40" s="20"/>
      <c r="X40" s="21"/>
      <c r="Y40" s="21"/>
      <c r="Z40" s="21"/>
      <c r="AA40" s="20"/>
      <c r="AB40" s="35"/>
      <c r="AC40" s="1" t="str">
        <f t="shared" ref="AC40:AG40" si="89">IF(V40="","", LOOKUP(V40, $D$160:$D$223, E$160:E$223))</f>
        <v/>
      </c>
      <c r="AD40" s="1" t="str">
        <f t="shared" si="89"/>
        <v/>
      </c>
      <c r="AE40" s="1" t="str">
        <f t="shared" si="89"/>
        <v/>
      </c>
      <c r="AF40" s="1" t="str">
        <f t="shared" si="89"/>
        <v/>
      </c>
      <c r="AG40" s="1" t="str">
        <f t="shared" si="89"/>
        <v/>
      </c>
      <c r="AH40" s="1" t="str">
        <f t="shared" ref="AH40:AH45" si="92">if(AA40=1, 1, IF(AA40="", "", If(AA40&gt;$K$212, $L$212, if(AA40&gt;$K$211, $L$211, if(AA40&gt;$K$210, $L$210, if(AA40&gt;$K$209, $L$209, if(AA40&gt;$K$208, $L$208, if(AA40&gt;$K$206, $L$206, if(AA40&gt;$K$204, $L$204, if(AA40&gt;$K$202, $L$202, if(AA40&gt;$K$200, $L$200, if(AA40&gt;$K$198, $L$198, if(AA40&gt;$K$194, $L$194, if(AA40&gt;$K$190, $L$190, if(AA40&gt;$K$186, $L$186, if(AA40&gt;$K$182, $L$182, if(AA40&gt;$K$178, $L$178, $L$178)))))))))))))))))</f>
        <v/>
      </c>
      <c r="AI40" s="1" t="str">
        <f t="shared" ref="AI40:AI45" si="93">IF(SUM(AC40:AH40)=0, "", SUM(AC40:AH40))</f>
        <v/>
      </c>
      <c r="AJ40" s="1"/>
      <c r="AK40" s="1" t="str">
        <f>IF(AI40="", "", IF(AI41="", IF(AI42="",AI40-AB40-1-AI43, AI40-AB40-1-AI42), AI40-AB40-1-AI41))</f>
        <v/>
      </c>
    </row>
    <row r="41" ht="12.75" customHeight="1">
      <c r="A41" s="17" t="s">
        <v>19</v>
      </c>
      <c r="B41" s="18">
        <v>5.0</v>
      </c>
      <c r="C41" s="19"/>
      <c r="D41" s="20"/>
      <c r="E41" s="21"/>
      <c r="F41" s="21"/>
      <c r="G41" s="21"/>
      <c r="H41" s="20"/>
      <c r="I41" s="35"/>
      <c r="J41" s="1" t="str">
        <f t="shared" ref="J41:N41" si="90">IF(C41="","", LOOKUP(C41, $D$160:$D$223, E$160:E$223))</f>
        <v/>
      </c>
      <c r="K41" s="1" t="str">
        <f t="shared" si="90"/>
        <v/>
      </c>
      <c r="L41" s="1" t="str">
        <f t="shared" si="90"/>
        <v/>
      </c>
      <c r="M41" s="1" t="str">
        <f t="shared" si="90"/>
        <v/>
      </c>
      <c r="N41" s="1" t="str">
        <f t="shared" si="90"/>
        <v/>
      </c>
      <c r="O41" s="1" t="str">
        <f t="shared" ref="O41:O46" si="95">if(H41=1, 1, IF(H41="", "", If(H41&gt;$K$212, $L$212, if(H41&gt;$K$211, $L$211, if(H41&gt;$K$210, $L$210, if(H41&gt;$K$209, $L$209, if(H41&gt;$K$208, $L$208, if(H41&gt;$K$206, $L$206, if(H41&gt;$K$204, $L$204, if(H41&gt;$K$202, $L$202, if(H41&gt;$K$200, $L$200, if(H41&gt;$K$198, $L$198, if(H41&gt;$K$194, $L$194, if(H41&gt;$K$190, $L$190, if(H41&gt;$K$186, $L$186, if(H41&gt;$K$182, $L$182, if(H41&gt;$K$178, $L$178, $L$178)))))))))))))))))</f>
        <v/>
      </c>
      <c r="P41" s="1" t="str">
        <f t="shared" ref="P41:P46" si="96">IF(SUM(J41:O41)=0, "", SUM(J41:O41))</f>
        <v/>
      </c>
      <c r="Q41" s="1"/>
      <c r="R41" s="1" t="str">
        <f>IF(P41="", "", IF(P42="", IF(P43="",P41-I41-1-P44, P41-I41-1-P43), P41-I41-1-P42))</f>
        <v/>
      </c>
      <c r="S41" s="1"/>
      <c r="T41" s="23" t="s">
        <v>20</v>
      </c>
      <c r="U41" s="21"/>
      <c r="V41" s="20"/>
      <c r="W41" s="24"/>
      <c r="X41" s="23"/>
      <c r="Y41" s="24"/>
      <c r="Z41" s="24"/>
      <c r="AA41" s="20"/>
      <c r="AB41" s="24"/>
      <c r="AC41" s="1" t="str">
        <f t="shared" ref="AC41:AG41" si="91">IF(V41="","", LOOKUP(V41, $D$160:$D$223, E$160:E$223))</f>
        <v/>
      </c>
      <c r="AD41" s="1" t="str">
        <f t="shared" si="91"/>
        <v/>
      </c>
      <c r="AE41" s="1" t="str">
        <f t="shared" si="91"/>
        <v/>
      </c>
      <c r="AF41" s="1" t="str">
        <f t="shared" si="91"/>
        <v/>
      </c>
      <c r="AG41" s="1" t="str">
        <f t="shared" si="91"/>
        <v/>
      </c>
      <c r="AH41" s="1" t="str">
        <f t="shared" si="92"/>
        <v/>
      </c>
      <c r="AI41" s="1" t="str">
        <f t="shared" si="93"/>
        <v/>
      </c>
      <c r="AJ41" s="1"/>
      <c r="AK41" s="1" t="str">
        <f t="shared" ref="AK41:AK43" si="98">IF(AI41="", "", IF(AI42="", AI41-AB41-1-AI43, AI41-AB41-1-AI42))</f>
        <v/>
      </c>
    </row>
    <row r="42" ht="12.75" customHeight="1">
      <c r="A42" s="23" t="s">
        <v>20</v>
      </c>
      <c r="B42" s="21"/>
      <c r="C42" s="20"/>
      <c r="D42" s="24"/>
      <c r="E42" s="23"/>
      <c r="F42" s="24"/>
      <c r="G42" s="24"/>
      <c r="H42" s="20"/>
      <c r="I42" s="24"/>
      <c r="J42" s="1" t="str">
        <f t="shared" ref="J42:N42" si="94">IF(C42="","", LOOKUP(C42, $D$160:$D$223, E$160:E$223))</f>
        <v/>
      </c>
      <c r="K42" s="1" t="str">
        <f t="shared" si="94"/>
        <v/>
      </c>
      <c r="L42" s="1" t="str">
        <f t="shared" si="94"/>
        <v/>
      </c>
      <c r="M42" s="1" t="str">
        <f t="shared" si="94"/>
        <v/>
      </c>
      <c r="N42" s="1" t="str">
        <f t="shared" si="94"/>
        <v/>
      </c>
      <c r="O42" s="1" t="str">
        <f t="shared" si="95"/>
        <v/>
      </c>
      <c r="P42" s="1" t="str">
        <f t="shared" si="96"/>
        <v/>
      </c>
      <c r="Q42" s="1"/>
      <c r="R42" s="1" t="str">
        <f t="shared" ref="R42:R44" si="100">IF(P42="", "", IF(P43="", P42-I42-1-P44, P42-I42-1-P43))</f>
        <v/>
      </c>
      <c r="S42" s="1"/>
      <c r="U42" s="21"/>
      <c r="V42" s="23"/>
      <c r="W42" s="24"/>
      <c r="X42" s="23"/>
      <c r="Y42" s="24"/>
      <c r="Z42" s="24"/>
      <c r="AA42" s="20"/>
      <c r="AB42" s="24"/>
      <c r="AC42" s="1" t="str">
        <f t="shared" ref="AC42:AG42" si="97">IF(V42="","", LOOKUP(V42, $D$160:$D$223, E$160:E$223))</f>
        <v/>
      </c>
      <c r="AD42" s="1" t="str">
        <f t="shared" si="97"/>
        <v/>
      </c>
      <c r="AE42" s="1" t="str">
        <f t="shared" si="97"/>
        <v/>
      </c>
      <c r="AF42" s="1" t="str">
        <f t="shared" si="97"/>
        <v/>
      </c>
      <c r="AG42" s="1" t="str">
        <f t="shared" si="97"/>
        <v/>
      </c>
      <c r="AH42" s="1" t="str">
        <f t="shared" si="92"/>
        <v/>
      </c>
      <c r="AI42" s="1" t="str">
        <f t="shared" si="93"/>
        <v/>
      </c>
      <c r="AJ42" s="1"/>
      <c r="AK42" s="1" t="str">
        <f t="shared" si="98"/>
        <v/>
      </c>
    </row>
    <row r="43" ht="12.75" customHeight="1">
      <c r="B43" s="21"/>
      <c r="C43" s="24"/>
      <c r="D43" s="23"/>
      <c r="E43" s="23"/>
      <c r="F43" s="24"/>
      <c r="G43" s="24"/>
      <c r="H43" s="20"/>
      <c r="I43" s="24"/>
      <c r="J43" s="1" t="str">
        <f t="shared" ref="J43:N43" si="99">IF(C43="","", LOOKUP(C43, $D$160:$D$223, E$160:E$223))</f>
        <v/>
      </c>
      <c r="K43" s="1" t="str">
        <f t="shared" si="99"/>
        <v/>
      </c>
      <c r="L43" s="1" t="str">
        <f t="shared" si="99"/>
        <v/>
      </c>
      <c r="M43" s="1" t="str">
        <f t="shared" si="99"/>
        <v/>
      </c>
      <c r="N43" s="1" t="str">
        <f t="shared" si="99"/>
        <v/>
      </c>
      <c r="O43" s="1" t="str">
        <f t="shared" si="95"/>
        <v/>
      </c>
      <c r="P43" s="1" t="str">
        <f t="shared" si="96"/>
        <v/>
      </c>
      <c r="Q43" s="1"/>
      <c r="R43" s="1" t="str">
        <f t="shared" si="100"/>
        <v/>
      </c>
      <c r="S43" s="1"/>
      <c r="T43" s="26" t="s">
        <v>21</v>
      </c>
      <c r="U43" s="21"/>
      <c r="V43" s="20"/>
      <c r="W43" s="26"/>
      <c r="X43" s="26"/>
      <c r="Y43" s="26"/>
      <c r="Z43" s="27"/>
      <c r="AA43" s="21"/>
      <c r="AB43" s="27"/>
      <c r="AC43" s="1" t="str">
        <f t="shared" ref="AC43:AG43" si="101">IF(V43="","", LOOKUP(V43, $D$160:$D$223, E$160:E$223))</f>
        <v/>
      </c>
      <c r="AD43" s="36" t="str">
        <f t="shared" si="101"/>
        <v/>
      </c>
      <c r="AE43" s="1" t="str">
        <f t="shared" si="101"/>
        <v/>
      </c>
      <c r="AF43" s="1" t="str">
        <f t="shared" si="101"/>
        <v/>
      </c>
      <c r="AG43" s="1" t="str">
        <f t="shared" si="101"/>
        <v/>
      </c>
      <c r="AH43" s="1" t="str">
        <f t="shared" si="92"/>
        <v/>
      </c>
      <c r="AI43" s="1" t="str">
        <f t="shared" si="93"/>
        <v/>
      </c>
      <c r="AJ43" s="1"/>
      <c r="AK43" s="1" t="str">
        <f t="shared" si="98"/>
        <v/>
      </c>
    </row>
    <row r="44" ht="12.75" customHeight="1">
      <c r="A44" s="26" t="s">
        <v>21</v>
      </c>
      <c r="B44" s="21"/>
      <c r="C44" s="20"/>
      <c r="D44" s="26"/>
      <c r="E44" s="26"/>
      <c r="F44" s="26"/>
      <c r="G44" s="27"/>
      <c r="H44" s="21"/>
      <c r="I44" s="37"/>
      <c r="J44" s="1" t="str">
        <f t="shared" ref="J44:N44" si="102">IF(C44="","", LOOKUP(C44, $D$160:$D$223, E$160:E$223))</f>
        <v/>
      </c>
      <c r="K44" s="36" t="str">
        <f t="shared" si="102"/>
        <v/>
      </c>
      <c r="L44" s="1" t="str">
        <f t="shared" si="102"/>
        <v/>
      </c>
      <c r="M44" s="1" t="str">
        <f t="shared" si="102"/>
        <v/>
      </c>
      <c r="N44" s="1" t="str">
        <f t="shared" si="102"/>
        <v/>
      </c>
      <c r="O44" s="1" t="str">
        <f t="shared" si="95"/>
        <v/>
      </c>
      <c r="P44" s="1" t="str">
        <f t="shared" si="96"/>
        <v/>
      </c>
      <c r="Q44" s="1"/>
      <c r="R44" s="1" t="str">
        <f t="shared" si="100"/>
        <v/>
      </c>
      <c r="S44" s="1"/>
      <c r="T44" s="28" t="s">
        <v>22</v>
      </c>
      <c r="U44" s="21"/>
      <c r="V44" s="20"/>
      <c r="W44" s="20"/>
      <c r="X44" s="20"/>
      <c r="Y44" s="20"/>
      <c r="Z44" s="20"/>
      <c r="AA44" s="28"/>
      <c r="AB44" s="30"/>
      <c r="AC44" s="1" t="str">
        <f t="shared" ref="AC44:AG44" si="103">IF(V44="","", LOOKUP(V44, $D$160:$D$223, E$160:E$223))</f>
        <v/>
      </c>
      <c r="AD44" s="1" t="str">
        <f t="shared" si="103"/>
        <v/>
      </c>
      <c r="AE44" s="1" t="str">
        <f t="shared" si="103"/>
        <v/>
      </c>
      <c r="AF44" s="1" t="str">
        <f t="shared" si="103"/>
        <v/>
      </c>
      <c r="AG44" s="1" t="str">
        <f t="shared" si="103"/>
        <v/>
      </c>
      <c r="AH44" s="1" t="str">
        <f t="shared" si="92"/>
        <v/>
      </c>
      <c r="AI44" s="1" t="str">
        <f t="shared" si="93"/>
        <v/>
      </c>
      <c r="AJ44" s="1"/>
      <c r="AK44" s="1" t="str">
        <f t="shared" ref="AK44:AK45" si="106">IF(AI44="", "", AI44-AB44-1-AI45)</f>
        <v/>
      </c>
    </row>
    <row r="45" ht="12.75" customHeight="1">
      <c r="A45" s="28" t="s">
        <v>22</v>
      </c>
      <c r="B45" s="21"/>
      <c r="C45" s="20"/>
      <c r="D45" s="20"/>
      <c r="E45" s="20"/>
      <c r="F45" s="20"/>
      <c r="G45" s="20"/>
      <c r="H45" s="28"/>
      <c r="I45" s="30"/>
      <c r="J45" s="1" t="str">
        <f t="shared" ref="J45:N45" si="104">IF(C45="","", LOOKUP(C45, $D$160:$D$223, E$160:E$223))</f>
        <v/>
      </c>
      <c r="K45" s="1" t="str">
        <f t="shared" si="104"/>
        <v/>
      </c>
      <c r="L45" s="1" t="str">
        <f t="shared" si="104"/>
        <v/>
      </c>
      <c r="M45" s="1" t="str">
        <f t="shared" si="104"/>
        <v/>
      </c>
      <c r="N45" s="1" t="str">
        <f t="shared" si="104"/>
        <v/>
      </c>
      <c r="O45" s="1" t="str">
        <f t="shared" si="95"/>
        <v/>
      </c>
      <c r="P45" s="1" t="str">
        <f t="shared" si="96"/>
        <v/>
      </c>
      <c r="Q45" s="1"/>
      <c r="R45" s="1" t="str">
        <f t="shared" ref="R45:R46" si="108">IF(P45="", "", P45-I45-1-P46)</f>
        <v/>
      </c>
      <c r="S45" s="1"/>
      <c r="T45" s="1"/>
      <c r="U45" s="21"/>
      <c r="V45" s="20"/>
      <c r="W45" s="20"/>
      <c r="X45" s="20"/>
      <c r="Y45" s="20"/>
      <c r="Z45" s="20"/>
      <c r="AA45" s="31"/>
      <c r="AB45" s="33"/>
      <c r="AC45" s="1" t="str">
        <f t="shared" ref="AC45:AG45" si="105">IF(V45="","", LOOKUP(V45, $D$160:$D$223, E$160:E$223))</f>
        <v/>
      </c>
      <c r="AD45" s="1" t="str">
        <f t="shared" si="105"/>
        <v/>
      </c>
      <c r="AE45" s="1" t="str">
        <f t="shared" si="105"/>
        <v/>
      </c>
      <c r="AF45" s="1" t="str">
        <f t="shared" si="105"/>
        <v/>
      </c>
      <c r="AG45" s="1" t="str">
        <f t="shared" si="105"/>
        <v/>
      </c>
      <c r="AH45" s="1" t="str">
        <f t="shared" si="92"/>
        <v/>
      </c>
      <c r="AI45" s="1" t="str">
        <f t="shared" si="93"/>
        <v/>
      </c>
      <c r="AJ45" s="1"/>
      <c r="AK45" s="1" t="str">
        <f t="shared" si="106"/>
        <v/>
      </c>
    </row>
    <row r="46" ht="12.75" customHeight="1">
      <c r="A46" s="1"/>
      <c r="B46" s="21"/>
      <c r="C46" s="20"/>
      <c r="D46" s="20"/>
      <c r="E46" s="20"/>
      <c r="F46" s="20"/>
      <c r="G46" s="20"/>
      <c r="H46" s="31"/>
      <c r="I46" s="33"/>
      <c r="J46" s="1" t="str">
        <f t="shared" ref="J46:N46" si="107">IF(C46="","", LOOKUP(C46, $D$160:$D$223, E$160:E$223))</f>
        <v/>
      </c>
      <c r="K46" s="1" t="str">
        <f t="shared" si="107"/>
        <v/>
      </c>
      <c r="L46" s="1" t="str">
        <f t="shared" si="107"/>
        <v/>
      </c>
      <c r="M46" s="1" t="str">
        <f t="shared" si="107"/>
        <v/>
      </c>
      <c r="N46" s="1" t="str">
        <f t="shared" si="107"/>
        <v/>
      </c>
      <c r="O46" s="1" t="str">
        <f t="shared" si="95"/>
        <v/>
      </c>
      <c r="P46" s="1" t="str">
        <f t="shared" si="96"/>
        <v/>
      </c>
      <c r="Q46" s="1"/>
      <c r="R46" s="1" t="str">
        <f t="shared" si="108"/>
        <v/>
      </c>
      <c r="S46" s="1"/>
      <c r="T46" s="1"/>
      <c r="U46" s="1"/>
      <c r="V46" s="2" t="s">
        <v>12</v>
      </c>
      <c r="W46" s="2" t="s">
        <v>13</v>
      </c>
      <c r="X46" s="2" t="s">
        <v>14</v>
      </c>
      <c r="Y46" s="2" t="s">
        <v>15</v>
      </c>
      <c r="Z46" s="2" t="s">
        <v>16</v>
      </c>
      <c r="AA46" s="2" t="s">
        <v>17</v>
      </c>
      <c r="AB46" s="2" t="s">
        <v>18</v>
      </c>
      <c r="AC46" s="1"/>
      <c r="AD46" s="1"/>
      <c r="AE46" s="1"/>
      <c r="AF46" s="1"/>
      <c r="AG46" s="1"/>
      <c r="AH46" s="1"/>
      <c r="AI46" s="1"/>
      <c r="AJ46" s="1"/>
      <c r="AK46" s="1"/>
    </row>
    <row r="47" ht="12.75" customHeight="1">
      <c r="A47" s="1"/>
      <c r="B47" s="2"/>
      <c r="C47" s="2" t="s">
        <v>12</v>
      </c>
      <c r="D47" s="2" t="s">
        <v>13</v>
      </c>
      <c r="E47" s="2" t="s">
        <v>14</v>
      </c>
      <c r="F47" s="2" t="s">
        <v>15</v>
      </c>
      <c r="G47" s="2" t="s">
        <v>16</v>
      </c>
      <c r="H47" s="2" t="s">
        <v>17</v>
      </c>
      <c r="I47" s="2" t="s">
        <v>18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7" t="s">
        <v>19</v>
      </c>
      <c r="U47" s="18">
        <v>15.0</v>
      </c>
      <c r="V47" s="19"/>
      <c r="W47" s="20"/>
      <c r="X47" s="21"/>
      <c r="Y47" s="21"/>
      <c r="Z47" s="21"/>
      <c r="AA47" s="20"/>
      <c r="AB47" s="22"/>
      <c r="AC47" s="1" t="str">
        <f t="shared" ref="AC47:AG47" si="109">IF(V47="","", LOOKUP(V47, $D$160:$D$223, E$160:E$223))</f>
        <v/>
      </c>
      <c r="AD47" s="1" t="str">
        <f t="shared" si="109"/>
        <v/>
      </c>
      <c r="AE47" s="1" t="str">
        <f t="shared" si="109"/>
        <v/>
      </c>
      <c r="AF47" s="1" t="str">
        <f t="shared" si="109"/>
        <v/>
      </c>
      <c r="AG47" s="1" t="str">
        <f t="shared" si="109"/>
        <v/>
      </c>
      <c r="AH47" s="1" t="str">
        <f t="shared" ref="AH47:AH52" si="112">if(AA47=1, 1, IF(AA47="", "", If(AA47&gt;$K$212, $L$212, if(AA47&gt;$K$211, $L$211, if(AA47&gt;$K$210, $L$210, if(AA47&gt;$K$209, $L$209, if(AA47&gt;$K$208, $L$208, if(AA47&gt;$K$206, $L$206, if(AA47&gt;$K$204, $L$204, if(AA47&gt;$K$202, $L$202, if(AA47&gt;$K$200, $L$200, if(AA47&gt;$K$198, $L$198, if(AA47&gt;$K$194, $L$194, if(AA47&gt;$K$190, $L$190, if(AA47&gt;$K$186, $L$186, if(AA47&gt;$K$182, $L$182, if(AA47&gt;$K$178, $L$178, $L$178)))))))))))))))))</f>
        <v/>
      </c>
      <c r="AI47" s="1" t="str">
        <f t="shared" ref="AI47:AI52" si="113">IF(SUM(AC47:AH47)=0, "", SUM(AC47:AH47))</f>
        <v/>
      </c>
      <c r="AJ47" s="1"/>
      <c r="AK47" s="1" t="str">
        <f>IF(AI47="", "", IF(AI48="", IF(AI49="",AI47-AB47-1-AI50, AI47-AB47-1-AI49), AI47-AB47-1-AI48))</f>
        <v/>
      </c>
    </row>
    <row r="48" ht="12.75" customHeight="1">
      <c r="A48" s="17" t="s">
        <v>19</v>
      </c>
      <c r="B48" s="18">
        <v>6.0</v>
      </c>
      <c r="C48" s="19"/>
      <c r="D48" s="20"/>
      <c r="E48" s="21"/>
      <c r="F48" s="21"/>
      <c r="G48" s="21"/>
      <c r="H48" s="20"/>
      <c r="I48" s="35"/>
      <c r="J48" s="1" t="str">
        <f t="shared" ref="J48:N48" si="110">IF(C48="","", LOOKUP(C48, $D$160:$D$223, E$160:E$223))</f>
        <v/>
      </c>
      <c r="K48" s="1" t="str">
        <f t="shared" si="110"/>
        <v/>
      </c>
      <c r="L48" s="1" t="str">
        <f t="shared" si="110"/>
        <v/>
      </c>
      <c r="M48" s="1" t="str">
        <f t="shared" si="110"/>
        <v/>
      </c>
      <c r="N48" s="1" t="str">
        <f t="shared" si="110"/>
        <v/>
      </c>
      <c r="O48" s="1" t="str">
        <f t="shared" ref="O48:O53" si="115">if(H48=1, 1, IF(H48="", "", If(H48&gt;$K$212, $L$212, if(H48&gt;$K$211, $L$211, if(H48&gt;$K$210, $L$210, if(H48&gt;$K$209, $L$209, if(H48&gt;$K$208, $L$208, if(H48&gt;$K$206, $L$206, if(H48&gt;$K$204, $L$204, if(H48&gt;$K$202, $L$202, if(H48&gt;$K$200, $L$200, if(H48&gt;$K$198, $L$198, if(H48&gt;$K$194, $L$194, if(H48&gt;$K$190, $L$190, if(H48&gt;$K$186, $L$186, if(H48&gt;$K$182, $L$182, if(H48&gt;$K$178, $L$178, $L$178)))))))))))))))))</f>
        <v/>
      </c>
      <c r="P48" s="1" t="str">
        <f t="shared" ref="P48:P53" si="116">IF(SUM(J48:O48)=0, "", SUM(J48:O48))</f>
        <v/>
      </c>
      <c r="Q48" s="1"/>
      <c r="R48" s="1" t="str">
        <f>IF(P48="", "", IF(P49="", IF(P50="",P48-I48-1-P51, P48-I48-1-P50), P48-I48-1-P49))</f>
        <v/>
      </c>
      <c r="S48" s="1"/>
      <c r="T48" s="23" t="s">
        <v>20</v>
      </c>
      <c r="U48" s="21"/>
      <c r="V48" s="20"/>
      <c r="W48" s="24"/>
      <c r="X48" s="23"/>
      <c r="Y48" s="24"/>
      <c r="Z48" s="24"/>
      <c r="AA48" s="20"/>
      <c r="AB48" s="24"/>
      <c r="AC48" s="1" t="str">
        <f t="shared" ref="AC48:AG48" si="111">IF(V48="","", LOOKUP(V48, $D$160:$D$223, E$160:E$223))</f>
        <v/>
      </c>
      <c r="AD48" s="1" t="str">
        <f t="shared" si="111"/>
        <v/>
      </c>
      <c r="AE48" s="1" t="str">
        <f t="shared" si="111"/>
        <v/>
      </c>
      <c r="AF48" s="1" t="str">
        <f t="shared" si="111"/>
        <v/>
      </c>
      <c r="AG48" s="1" t="str">
        <f t="shared" si="111"/>
        <v/>
      </c>
      <c r="AH48" s="1" t="str">
        <f t="shared" si="112"/>
        <v/>
      </c>
      <c r="AI48" s="1" t="str">
        <f t="shared" si="113"/>
        <v/>
      </c>
      <c r="AJ48" s="1"/>
      <c r="AK48" s="1" t="str">
        <f t="shared" ref="AK48:AK50" si="118">IF(AI48="", "", IF(AI49="", AI48-AB48-1-AI50, AI48-AB48-1-AI49))</f>
        <v/>
      </c>
    </row>
    <row r="49" ht="12.75" customHeight="1">
      <c r="A49" s="23" t="s">
        <v>20</v>
      </c>
      <c r="B49" s="21"/>
      <c r="C49" s="20"/>
      <c r="D49" s="24"/>
      <c r="E49" s="23"/>
      <c r="F49" s="24"/>
      <c r="G49" s="24"/>
      <c r="H49" s="20"/>
      <c r="I49" s="24"/>
      <c r="J49" s="1" t="str">
        <f t="shared" ref="J49:N49" si="114">IF(C49="","", LOOKUP(C49, $D$160:$D$223, E$160:E$223))</f>
        <v/>
      </c>
      <c r="K49" s="1" t="str">
        <f t="shared" si="114"/>
        <v/>
      </c>
      <c r="L49" s="1" t="str">
        <f t="shared" si="114"/>
        <v/>
      </c>
      <c r="M49" s="1" t="str">
        <f t="shared" si="114"/>
        <v/>
      </c>
      <c r="N49" s="1" t="str">
        <f t="shared" si="114"/>
        <v/>
      </c>
      <c r="O49" s="1" t="str">
        <f t="shared" si="115"/>
        <v/>
      </c>
      <c r="P49" s="1" t="str">
        <f t="shared" si="116"/>
        <v/>
      </c>
      <c r="Q49" s="1"/>
      <c r="R49" s="1" t="str">
        <f t="shared" ref="R49:R51" si="120">IF(P49="", "", IF(P50="", P49-I49-1-P51, P49-I49-1-P50))</f>
        <v/>
      </c>
      <c r="S49" s="1"/>
      <c r="U49" s="21"/>
      <c r="V49" s="24"/>
      <c r="W49" s="25"/>
      <c r="X49" s="23"/>
      <c r="Y49" s="24"/>
      <c r="Z49" s="24"/>
      <c r="AA49" s="20"/>
      <c r="AB49" s="24"/>
      <c r="AC49" s="1" t="str">
        <f t="shared" ref="AC49:AG49" si="117">IF(V49="","", LOOKUP(V49, $D$160:$D$223, E$160:E$223))</f>
        <v/>
      </c>
      <c r="AD49" s="1" t="str">
        <f t="shared" si="117"/>
        <v/>
      </c>
      <c r="AE49" s="1" t="str">
        <f t="shared" si="117"/>
        <v/>
      </c>
      <c r="AF49" s="1" t="str">
        <f t="shared" si="117"/>
        <v/>
      </c>
      <c r="AG49" s="1" t="str">
        <f t="shared" si="117"/>
        <v/>
      </c>
      <c r="AH49" s="1" t="str">
        <f t="shared" si="112"/>
        <v/>
      </c>
      <c r="AI49" s="1" t="str">
        <f t="shared" si="113"/>
        <v/>
      </c>
      <c r="AJ49" s="1"/>
      <c r="AK49" s="1" t="str">
        <f t="shared" si="118"/>
        <v/>
      </c>
    </row>
    <row r="50" ht="12.75" customHeight="1">
      <c r="B50" s="21"/>
      <c r="C50" s="24"/>
      <c r="D50" s="25"/>
      <c r="E50" s="23"/>
      <c r="F50" s="24"/>
      <c r="G50" s="24"/>
      <c r="H50" s="20"/>
      <c r="I50" s="24"/>
      <c r="J50" s="1" t="str">
        <f t="shared" ref="J50:N50" si="119">IF(C50="","", LOOKUP(C50, $D$160:$D$223, E$160:E$223))</f>
        <v/>
      </c>
      <c r="K50" s="1" t="str">
        <f t="shared" si="119"/>
        <v/>
      </c>
      <c r="L50" s="1" t="str">
        <f t="shared" si="119"/>
        <v/>
      </c>
      <c r="M50" s="1" t="str">
        <f t="shared" si="119"/>
        <v/>
      </c>
      <c r="N50" s="1" t="str">
        <f t="shared" si="119"/>
        <v/>
      </c>
      <c r="O50" s="1" t="str">
        <f t="shared" si="115"/>
        <v/>
      </c>
      <c r="P50" s="1" t="str">
        <f t="shared" si="116"/>
        <v/>
      </c>
      <c r="Q50" s="1"/>
      <c r="R50" s="1" t="str">
        <f t="shared" si="120"/>
        <v/>
      </c>
      <c r="S50" s="1"/>
      <c r="T50" s="26" t="s">
        <v>21</v>
      </c>
      <c r="U50" s="21"/>
      <c r="V50" s="20"/>
      <c r="W50" s="26"/>
      <c r="X50" s="26"/>
      <c r="Y50" s="26"/>
      <c r="Z50" s="27"/>
      <c r="AA50" s="21"/>
      <c r="AB50" s="27"/>
      <c r="AC50" s="1" t="str">
        <f t="shared" ref="AC50:AG50" si="121">IF(V50="","", LOOKUP(V50, $D$160:$D$223, E$160:E$223))</f>
        <v/>
      </c>
      <c r="AD50" s="1" t="str">
        <f t="shared" si="121"/>
        <v/>
      </c>
      <c r="AE50" s="1" t="str">
        <f t="shared" si="121"/>
        <v/>
      </c>
      <c r="AF50" s="1" t="str">
        <f t="shared" si="121"/>
        <v/>
      </c>
      <c r="AG50" s="1" t="str">
        <f t="shared" si="121"/>
        <v/>
      </c>
      <c r="AH50" s="1" t="str">
        <f t="shared" si="112"/>
        <v/>
      </c>
      <c r="AI50" s="1" t="str">
        <f t="shared" si="113"/>
        <v/>
      </c>
      <c r="AJ50" s="1"/>
      <c r="AK50" s="1" t="str">
        <f t="shared" si="118"/>
        <v/>
      </c>
    </row>
    <row r="51" ht="12.75" customHeight="1">
      <c r="A51" s="26" t="s">
        <v>21</v>
      </c>
      <c r="B51" s="21"/>
      <c r="C51" s="20"/>
      <c r="D51" s="26"/>
      <c r="E51" s="26"/>
      <c r="F51" s="26"/>
      <c r="G51" s="27"/>
      <c r="H51" s="21"/>
      <c r="I51" s="27"/>
      <c r="J51" s="1" t="str">
        <f t="shared" ref="J51:N51" si="122">IF(C51="","", LOOKUP(C51, $D$160:$D$223, E$160:E$223))</f>
        <v/>
      </c>
      <c r="K51" s="1" t="str">
        <f t="shared" si="122"/>
        <v/>
      </c>
      <c r="L51" s="1" t="str">
        <f t="shared" si="122"/>
        <v/>
      </c>
      <c r="M51" s="1" t="str">
        <f t="shared" si="122"/>
        <v/>
      </c>
      <c r="N51" s="1" t="str">
        <f t="shared" si="122"/>
        <v/>
      </c>
      <c r="O51" s="1" t="str">
        <f t="shared" si="115"/>
        <v/>
      </c>
      <c r="P51" s="1" t="str">
        <f t="shared" si="116"/>
        <v/>
      </c>
      <c r="Q51" s="1"/>
      <c r="R51" s="1" t="str">
        <f t="shared" si="120"/>
        <v/>
      </c>
      <c r="S51" s="1"/>
      <c r="T51" s="28" t="s">
        <v>22</v>
      </c>
      <c r="U51" s="21"/>
      <c r="V51" s="20"/>
      <c r="W51" s="20"/>
      <c r="X51" s="20"/>
      <c r="Y51" s="20"/>
      <c r="Z51" s="20"/>
      <c r="AA51" s="28"/>
      <c r="AB51" s="30"/>
      <c r="AC51" s="1" t="str">
        <f t="shared" ref="AC51:AG51" si="123">IF(V51="","", LOOKUP(V51, $D$160:$D$223, E$160:E$223))</f>
        <v/>
      </c>
      <c r="AD51" s="1" t="str">
        <f t="shared" si="123"/>
        <v/>
      </c>
      <c r="AE51" s="1" t="str">
        <f t="shared" si="123"/>
        <v/>
      </c>
      <c r="AF51" s="1" t="str">
        <f t="shared" si="123"/>
        <v/>
      </c>
      <c r="AG51" s="1" t="str">
        <f t="shared" si="123"/>
        <v/>
      </c>
      <c r="AH51" s="1" t="str">
        <f t="shared" si="112"/>
        <v/>
      </c>
      <c r="AI51" s="1" t="str">
        <f t="shared" si="113"/>
        <v/>
      </c>
      <c r="AJ51" s="1"/>
      <c r="AK51" s="1" t="str">
        <f t="shared" ref="AK51:AK52" si="126">IF(AI51="", "", AI51-AB51-1-AI52)</f>
        <v/>
      </c>
    </row>
    <row r="52" ht="12.75" customHeight="1">
      <c r="A52" s="28" t="s">
        <v>22</v>
      </c>
      <c r="B52" s="21"/>
      <c r="C52" s="20"/>
      <c r="D52" s="20"/>
      <c r="E52" s="20"/>
      <c r="F52" s="20"/>
      <c r="G52" s="20"/>
      <c r="H52" s="28"/>
      <c r="I52" s="30"/>
      <c r="J52" s="1" t="str">
        <f t="shared" ref="J52:N52" si="124">IF(C52="","", LOOKUP(C52, $D$160:$D$223, E$160:E$223))</f>
        <v/>
      </c>
      <c r="K52" s="1" t="str">
        <f t="shared" si="124"/>
        <v/>
      </c>
      <c r="L52" s="1" t="str">
        <f t="shared" si="124"/>
        <v/>
      </c>
      <c r="M52" s="1" t="str">
        <f t="shared" si="124"/>
        <v/>
      </c>
      <c r="N52" s="1" t="str">
        <f t="shared" si="124"/>
        <v/>
      </c>
      <c r="O52" s="1" t="str">
        <f t="shared" si="115"/>
        <v/>
      </c>
      <c r="P52" s="1" t="str">
        <f t="shared" si="116"/>
        <v/>
      </c>
      <c r="Q52" s="1"/>
      <c r="R52" s="1" t="str">
        <f t="shared" ref="R52:R53" si="128">IF(P52="", "", P52-I52-1-P53)</f>
        <v/>
      </c>
      <c r="S52" s="1"/>
      <c r="T52" s="1"/>
      <c r="U52" s="21"/>
      <c r="V52" s="20"/>
      <c r="W52" s="20"/>
      <c r="X52" s="20"/>
      <c r="Y52" s="20"/>
      <c r="Z52" s="20"/>
      <c r="AA52" s="31"/>
      <c r="AB52" s="33"/>
      <c r="AC52" s="1" t="str">
        <f t="shared" ref="AC52:AG52" si="125">IF(V52="","", LOOKUP(V52, $D$160:$D$223, E$160:E$223))</f>
        <v/>
      </c>
      <c r="AD52" s="1" t="str">
        <f t="shared" si="125"/>
        <v/>
      </c>
      <c r="AE52" s="1" t="str">
        <f t="shared" si="125"/>
        <v/>
      </c>
      <c r="AF52" s="1" t="str">
        <f t="shared" si="125"/>
        <v/>
      </c>
      <c r="AG52" s="1" t="str">
        <f t="shared" si="125"/>
        <v/>
      </c>
      <c r="AH52" s="1" t="str">
        <f t="shared" si="112"/>
        <v/>
      </c>
      <c r="AI52" s="1" t="str">
        <f t="shared" si="113"/>
        <v/>
      </c>
      <c r="AJ52" s="1"/>
      <c r="AK52" s="1" t="str">
        <f t="shared" si="126"/>
        <v/>
      </c>
    </row>
    <row r="53" ht="12.75" customHeight="1">
      <c r="A53" s="1"/>
      <c r="B53" s="21"/>
      <c r="C53" s="20"/>
      <c r="D53" s="20"/>
      <c r="E53" s="20"/>
      <c r="F53" s="20"/>
      <c r="G53" s="20"/>
      <c r="H53" s="31"/>
      <c r="I53" s="32"/>
      <c r="J53" s="1" t="str">
        <f t="shared" ref="J53:N53" si="127">IF(C53="","", LOOKUP(C53, $D$160:$D$223, E$160:E$223))</f>
        <v/>
      </c>
      <c r="K53" s="1" t="str">
        <f t="shared" si="127"/>
        <v/>
      </c>
      <c r="L53" s="1" t="str">
        <f t="shared" si="127"/>
        <v/>
      </c>
      <c r="M53" s="1" t="str">
        <f t="shared" si="127"/>
        <v/>
      </c>
      <c r="N53" s="1" t="str">
        <f t="shared" si="127"/>
        <v/>
      </c>
      <c r="O53" s="1" t="str">
        <f t="shared" si="115"/>
        <v/>
      </c>
      <c r="P53" s="1" t="str">
        <f t="shared" si="116"/>
        <v/>
      </c>
      <c r="Q53" s="1"/>
      <c r="R53" s="1" t="str">
        <f t="shared" si="128"/>
        <v/>
      </c>
      <c r="S53" s="1"/>
      <c r="T53" s="1"/>
      <c r="U53" s="1"/>
      <c r="V53" s="16" t="s">
        <v>12</v>
      </c>
      <c r="W53" s="16" t="s">
        <v>13</v>
      </c>
      <c r="X53" s="16" t="s">
        <v>14</v>
      </c>
      <c r="Y53" s="16" t="s">
        <v>15</v>
      </c>
      <c r="Z53" s="16" t="s">
        <v>16</v>
      </c>
      <c r="AA53" s="16" t="s">
        <v>17</v>
      </c>
      <c r="AB53" s="2" t="s">
        <v>18</v>
      </c>
      <c r="AC53" s="1"/>
      <c r="AD53" s="1"/>
      <c r="AE53" s="1"/>
      <c r="AF53" s="1"/>
      <c r="AG53" s="1"/>
      <c r="AH53" s="1"/>
      <c r="AI53" s="1"/>
      <c r="AJ53" s="1"/>
      <c r="AK53" s="1"/>
    </row>
    <row r="54" ht="12.75" customHeight="1">
      <c r="A54" s="1"/>
      <c r="B54" s="1"/>
      <c r="C54" s="2" t="s">
        <v>12</v>
      </c>
      <c r="D54" s="2" t="s">
        <v>13</v>
      </c>
      <c r="E54" s="2" t="s">
        <v>14</v>
      </c>
      <c r="F54" s="2" t="s">
        <v>15</v>
      </c>
      <c r="G54" s="2" t="s">
        <v>16</v>
      </c>
      <c r="H54" s="2" t="s">
        <v>17</v>
      </c>
      <c r="I54" s="2" t="s">
        <v>18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7" t="s">
        <v>19</v>
      </c>
      <c r="U54" s="18">
        <v>16.0</v>
      </c>
      <c r="V54" s="19"/>
      <c r="W54" s="20"/>
      <c r="X54" s="21"/>
      <c r="Y54" s="21"/>
      <c r="Z54" s="21"/>
      <c r="AA54" s="20"/>
      <c r="AB54" s="17"/>
      <c r="AC54" s="1" t="str">
        <f t="shared" ref="AC54:AG54" si="129">IF(V54="","", LOOKUP(V54, $D$160:$D$223, E$160:E$223))</f>
        <v/>
      </c>
      <c r="AD54" s="1" t="str">
        <f t="shared" si="129"/>
        <v/>
      </c>
      <c r="AE54" s="1" t="str">
        <f t="shared" si="129"/>
        <v/>
      </c>
      <c r="AF54" s="1" t="str">
        <f t="shared" si="129"/>
        <v/>
      </c>
      <c r="AG54" s="1" t="str">
        <f t="shared" si="129"/>
        <v/>
      </c>
      <c r="AH54" s="1" t="str">
        <f t="shared" ref="AH54:AH59" si="132">if(AA54=1, 1, IF(AA54="", "", If(AA54&gt;$K$212, $L$212, if(AA54&gt;$K$211, $L$211, if(AA54&gt;$K$210, $L$210, if(AA54&gt;$K$209, $L$209, if(AA54&gt;$K$208, $L$208, if(AA54&gt;$K$206, $L$206, if(AA54&gt;$K$204, $L$204, if(AA54&gt;$K$202, $L$202, if(AA54&gt;$K$200, $L$200, if(AA54&gt;$K$198, $L$198, if(AA54&gt;$K$194, $L$194, if(AA54&gt;$K$190, $L$190, if(AA54&gt;$K$186, $L$186, if(AA54&gt;$K$182, $L$182, if(AA54&gt;$K$178, $L$178, $L$178)))))))))))))))))</f>
        <v/>
      </c>
      <c r="AI54" s="1" t="str">
        <f t="shared" ref="AI54:AI59" si="133">IF(SUM(AC54:AH54)=0, "", SUM(AC54:AH54))</f>
        <v/>
      </c>
      <c r="AJ54" s="1"/>
      <c r="AK54" s="1" t="str">
        <f>IF(AI54="", "", IF(AI55="", IF(AI56="",AI54-AB54-1-AI57, AI54-AB54-1-AI56), AI54-AB54-1-AI55))</f>
        <v/>
      </c>
    </row>
    <row r="55" ht="12.75" customHeight="1">
      <c r="A55" s="17" t="s">
        <v>19</v>
      </c>
      <c r="B55" s="18">
        <v>7.0</v>
      </c>
      <c r="C55" s="19"/>
      <c r="D55" s="20"/>
      <c r="E55" s="21"/>
      <c r="F55" s="21"/>
      <c r="G55" s="21"/>
      <c r="H55" s="20"/>
      <c r="I55" s="17"/>
      <c r="J55" s="1" t="str">
        <f t="shared" ref="J55:N55" si="130">IF(C55="","", LOOKUP(C55, $D$160:$D$223, E$160:E$223))</f>
        <v/>
      </c>
      <c r="K55" s="1" t="str">
        <f t="shared" si="130"/>
        <v/>
      </c>
      <c r="L55" s="1" t="str">
        <f t="shared" si="130"/>
        <v/>
      </c>
      <c r="M55" s="1" t="str">
        <f t="shared" si="130"/>
        <v/>
      </c>
      <c r="N55" s="1" t="str">
        <f t="shared" si="130"/>
        <v/>
      </c>
      <c r="O55" s="1" t="str">
        <f t="shared" ref="O55:O60" si="135">if(H55=1, 1, IF(H55="", "", If(H55&gt;$K$212, $L$212, if(H55&gt;$K$211, $L$211, if(H55&gt;$K$210, $L$210, if(H55&gt;$K$209, $L$209, if(H55&gt;$K$208, $L$208, if(H55&gt;$K$206, $L$206, if(H55&gt;$K$204, $L$204, if(H55&gt;$K$202, $L$202, if(H55&gt;$K$200, $L$200, if(H55&gt;$K$198, $L$198, if(H55&gt;$K$194, $L$194, if(H55&gt;$K$190, $L$190, if(H55&gt;$K$186, $L$186, if(H55&gt;$K$182, $L$182, if(H55&gt;$K$178, $L$178, $L$178)))))))))))))))))</f>
        <v/>
      </c>
      <c r="P55" s="1" t="str">
        <f t="shared" ref="P55:P60" si="136">IF(SUM(J55:O55)=0, "", SUM(J55:O55))</f>
        <v/>
      </c>
      <c r="Q55" s="1"/>
      <c r="R55" s="1" t="str">
        <f>IF(P55="", "", IF(P56="", IF(P57="",P55-I55-1-P58, P55-I55-1-P57), P55-I55-1-P56))</f>
        <v/>
      </c>
      <c r="S55" s="1"/>
      <c r="T55" s="23" t="s">
        <v>20</v>
      </c>
      <c r="U55" s="21"/>
      <c r="V55" s="20"/>
      <c r="W55" s="24"/>
      <c r="X55" s="23"/>
      <c r="Y55" s="24"/>
      <c r="Z55" s="24"/>
      <c r="AA55" s="20"/>
      <c r="AB55" s="24"/>
      <c r="AC55" s="1" t="str">
        <f t="shared" ref="AC55:AG55" si="131">IF(V55="","", LOOKUP(V55, $D$160:$D$223, E$160:E$223))</f>
        <v/>
      </c>
      <c r="AD55" s="1" t="str">
        <f t="shared" si="131"/>
        <v/>
      </c>
      <c r="AE55" s="1" t="str">
        <f t="shared" si="131"/>
        <v/>
      </c>
      <c r="AF55" s="1" t="str">
        <f t="shared" si="131"/>
        <v/>
      </c>
      <c r="AG55" s="1" t="str">
        <f t="shared" si="131"/>
        <v/>
      </c>
      <c r="AH55" s="1" t="str">
        <f t="shared" si="132"/>
        <v/>
      </c>
      <c r="AI55" s="1" t="str">
        <f t="shared" si="133"/>
        <v/>
      </c>
      <c r="AJ55" s="1"/>
      <c r="AK55" s="1" t="str">
        <f t="shared" ref="AK55:AK57" si="138">IF(AI55="", "", IF(AI56="", AI55-AB55-1-AI57, AI55-AB55-1-AI56))</f>
        <v/>
      </c>
    </row>
    <row r="56" ht="12.75" customHeight="1">
      <c r="A56" s="23" t="s">
        <v>20</v>
      </c>
      <c r="B56" s="21"/>
      <c r="C56" s="20"/>
      <c r="D56" s="25"/>
      <c r="E56" s="23"/>
      <c r="F56" s="24"/>
      <c r="G56" s="24"/>
      <c r="H56" s="20"/>
      <c r="I56" s="24"/>
      <c r="J56" s="1" t="str">
        <f t="shared" ref="J56:N56" si="134">IF(C56="","", LOOKUP(C56, $D$160:$D$223, E$160:E$223))</f>
        <v/>
      </c>
      <c r="K56" s="1" t="str">
        <f t="shared" si="134"/>
        <v/>
      </c>
      <c r="L56" s="1" t="str">
        <f t="shared" si="134"/>
        <v/>
      </c>
      <c r="M56" s="1" t="str">
        <f t="shared" si="134"/>
        <v/>
      </c>
      <c r="N56" s="1" t="str">
        <f t="shared" si="134"/>
        <v/>
      </c>
      <c r="O56" s="1" t="str">
        <f t="shared" si="135"/>
        <v/>
      </c>
      <c r="P56" s="1" t="str">
        <f t="shared" si="136"/>
        <v/>
      </c>
      <c r="Q56" s="1"/>
      <c r="R56" s="1" t="str">
        <f t="shared" ref="R56:R58" si="140">IF(P56="", "", IF(P57="", P56-I56-1-P58, P56-I56-1-P57))</f>
        <v/>
      </c>
      <c r="S56" s="1"/>
      <c r="U56" s="21"/>
      <c r="V56" s="24"/>
      <c r="W56" s="23"/>
      <c r="X56" s="23"/>
      <c r="Y56" s="24"/>
      <c r="Z56" s="24"/>
      <c r="AA56" s="20"/>
      <c r="AB56" s="24"/>
      <c r="AC56" s="1" t="str">
        <f t="shared" ref="AC56:AG56" si="137">IF(V56="","", LOOKUP(V56, $D$160:$D$223, E$160:E$223))</f>
        <v/>
      </c>
      <c r="AD56" s="36" t="str">
        <f t="shared" si="137"/>
        <v/>
      </c>
      <c r="AE56" s="1" t="str">
        <f t="shared" si="137"/>
        <v/>
      </c>
      <c r="AF56" s="1" t="str">
        <f t="shared" si="137"/>
        <v/>
      </c>
      <c r="AG56" s="1" t="str">
        <f t="shared" si="137"/>
        <v/>
      </c>
      <c r="AH56" s="1" t="str">
        <f t="shared" si="132"/>
        <v/>
      </c>
      <c r="AI56" s="1" t="str">
        <f t="shared" si="133"/>
        <v/>
      </c>
      <c r="AJ56" s="1"/>
      <c r="AK56" s="1" t="str">
        <f t="shared" si="138"/>
        <v/>
      </c>
    </row>
    <row r="57" ht="12.75" customHeight="1">
      <c r="B57" s="21"/>
      <c r="C57" s="25"/>
      <c r="D57" s="25"/>
      <c r="E57" s="23"/>
      <c r="F57" s="24"/>
      <c r="G57" s="23"/>
      <c r="H57" s="20"/>
      <c r="I57" s="24"/>
      <c r="J57" s="1" t="str">
        <f t="shared" ref="J57:N57" si="139">IF(C57="","", LOOKUP(C57, $D$160:$D$223, E$160:E$223))</f>
        <v/>
      </c>
      <c r="K57" s="1" t="str">
        <f t="shared" si="139"/>
        <v/>
      </c>
      <c r="L57" s="1" t="str">
        <f t="shared" si="139"/>
        <v/>
      </c>
      <c r="M57" s="1" t="str">
        <f t="shared" si="139"/>
        <v/>
      </c>
      <c r="N57" s="1" t="str">
        <f t="shared" si="139"/>
        <v/>
      </c>
      <c r="O57" s="1" t="str">
        <f t="shared" si="135"/>
        <v/>
      </c>
      <c r="P57" s="1" t="str">
        <f t="shared" si="136"/>
        <v/>
      </c>
      <c r="Q57" s="1"/>
      <c r="R57" s="1" t="str">
        <f t="shared" si="140"/>
        <v/>
      </c>
      <c r="S57" s="1"/>
      <c r="T57" s="26" t="s">
        <v>21</v>
      </c>
      <c r="U57" s="21"/>
      <c r="V57" s="20"/>
      <c r="W57" s="26"/>
      <c r="X57" s="26"/>
      <c r="Y57" s="26"/>
      <c r="Z57" s="27"/>
      <c r="AA57" s="21"/>
      <c r="AB57" s="27"/>
      <c r="AC57" s="1" t="str">
        <f t="shared" ref="AC57:AG57" si="141">IF(V57="","", LOOKUP(V57, $D$160:$D$223, E$160:E$223))</f>
        <v/>
      </c>
      <c r="AD57" s="1" t="str">
        <f t="shared" si="141"/>
        <v/>
      </c>
      <c r="AE57" s="1" t="str">
        <f t="shared" si="141"/>
        <v/>
      </c>
      <c r="AF57" s="1" t="str">
        <f t="shared" si="141"/>
        <v/>
      </c>
      <c r="AG57" s="1" t="str">
        <f t="shared" si="141"/>
        <v/>
      </c>
      <c r="AH57" s="1" t="str">
        <f t="shared" si="132"/>
        <v/>
      </c>
      <c r="AI57" s="1" t="str">
        <f t="shared" si="133"/>
        <v/>
      </c>
      <c r="AJ57" s="1"/>
      <c r="AK57" s="1" t="str">
        <f t="shared" si="138"/>
        <v/>
      </c>
    </row>
    <row r="58" ht="12.75" customHeight="1">
      <c r="A58" s="26" t="s">
        <v>21</v>
      </c>
      <c r="B58" s="21"/>
      <c r="C58" s="20"/>
      <c r="D58" s="26"/>
      <c r="E58" s="26"/>
      <c r="F58" s="26"/>
      <c r="G58" s="27"/>
      <c r="H58" s="21"/>
      <c r="I58" s="27"/>
      <c r="J58" s="1" t="str">
        <f t="shared" ref="J58:N58" si="142">IF(C58="","", LOOKUP(C58, $D$160:$D$223, E$160:E$223))</f>
        <v/>
      </c>
      <c r="K58" s="36" t="str">
        <f t="shared" si="142"/>
        <v/>
      </c>
      <c r="L58" s="1" t="str">
        <f t="shared" si="142"/>
        <v/>
      </c>
      <c r="M58" s="1" t="str">
        <f t="shared" si="142"/>
        <v/>
      </c>
      <c r="N58" s="1" t="str">
        <f t="shared" si="142"/>
        <v/>
      </c>
      <c r="O58" s="1" t="str">
        <f t="shared" si="135"/>
        <v/>
      </c>
      <c r="P58" s="1" t="str">
        <f t="shared" si="136"/>
        <v/>
      </c>
      <c r="Q58" s="1"/>
      <c r="R58" s="1" t="str">
        <f t="shared" si="140"/>
        <v/>
      </c>
      <c r="S58" s="1"/>
      <c r="T58" s="28" t="s">
        <v>22</v>
      </c>
      <c r="U58" s="21"/>
      <c r="V58" s="20"/>
      <c r="W58" s="20"/>
      <c r="X58" s="20"/>
      <c r="Y58" s="20"/>
      <c r="Z58" s="20"/>
      <c r="AA58" s="28"/>
      <c r="AB58" s="30"/>
      <c r="AC58" s="1" t="str">
        <f t="shared" ref="AC58:AG58" si="143">IF(V58="","", LOOKUP(V58, $D$160:$D$223, E$160:E$223))</f>
        <v/>
      </c>
      <c r="AD58" s="1" t="str">
        <f t="shared" si="143"/>
        <v/>
      </c>
      <c r="AE58" s="1" t="str">
        <f t="shared" si="143"/>
        <v/>
      </c>
      <c r="AF58" s="1" t="str">
        <f t="shared" si="143"/>
        <v/>
      </c>
      <c r="AG58" s="1" t="str">
        <f t="shared" si="143"/>
        <v/>
      </c>
      <c r="AH58" s="1" t="str">
        <f t="shared" si="132"/>
        <v/>
      </c>
      <c r="AI58" s="1" t="str">
        <f t="shared" si="133"/>
        <v/>
      </c>
      <c r="AJ58" s="1"/>
      <c r="AK58" s="1" t="str">
        <f t="shared" ref="AK58:AK59" si="146">IF(AI58="", "", AI58-AB58-1-AI59)</f>
        <v/>
      </c>
    </row>
    <row r="59" ht="12.75" customHeight="1">
      <c r="A59" s="28" t="s">
        <v>22</v>
      </c>
      <c r="B59" s="21"/>
      <c r="C59" s="20"/>
      <c r="D59" s="20"/>
      <c r="E59" s="20"/>
      <c r="F59" s="20"/>
      <c r="G59" s="20"/>
      <c r="H59" s="28"/>
      <c r="I59" s="30"/>
      <c r="J59" s="1" t="str">
        <f t="shared" ref="J59:N59" si="144">IF(C59="","", LOOKUP(C59, $D$160:$D$223, E$160:E$223))</f>
        <v/>
      </c>
      <c r="K59" s="1" t="str">
        <f t="shared" si="144"/>
        <v/>
      </c>
      <c r="L59" s="1" t="str">
        <f t="shared" si="144"/>
        <v/>
      </c>
      <c r="M59" s="1" t="str">
        <f t="shared" si="144"/>
        <v/>
      </c>
      <c r="N59" s="1" t="str">
        <f t="shared" si="144"/>
        <v/>
      </c>
      <c r="O59" s="1" t="str">
        <f t="shared" si="135"/>
        <v/>
      </c>
      <c r="P59" s="1" t="str">
        <f t="shared" si="136"/>
        <v/>
      </c>
      <c r="Q59" s="1"/>
      <c r="R59" s="1" t="str">
        <f t="shared" ref="R59:R60" si="148">IF(P59="", "", P59-I59-1-P60)</f>
        <v/>
      </c>
      <c r="S59" s="1"/>
      <c r="T59" s="1"/>
      <c r="U59" s="21"/>
      <c r="V59" s="20"/>
      <c r="W59" s="20"/>
      <c r="X59" s="20"/>
      <c r="Y59" s="20"/>
      <c r="Z59" s="20"/>
      <c r="AA59" s="31"/>
      <c r="AB59" s="33"/>
      <c r="AC59" s="1" t="str">
        <f t="shared" ref="AC59:AG59" si="145">IF(V59="","", LOOKUP(V59, $D$160:$D$223, E$160:E$223))</f>
        <v/>
      </c>
      <c r="AD59" s="1" t="str">
        <f t="shared" si="145"/>
        <v/>
      </c>
      <c r="AE59" s="1" t="str">
        <f t="shared" si="145"/>
        <v/>
      </c>
      <c r="AF59" s="1" t="str">
        <f t="shared" si="145"/>
        <v/>
      </c>
      <c r="AG59" s="1" t="str">
        <f t="shared" si="145"/>
        <v/>
      </c>
      <c r="AH59" s="1" t="str">
        <f t="shared" si="132"/>
        <v/>
      </c>
      <c r="AI59" s="1" t="str">
        <f t="shared" si="133"/>
        <v/>
      </c>
      <c r="AJ59" s="1"/>
      <c r="AK59" s="1" t="str">
        <f t="shared" si="146"/>
        <v/>
      </c>
    </row>
    <row r="60" ht="12.75" customHeight="1">
      <c r="A60" s="1"/>
      <c r="B60" s="21"/>
      <c r="C60" s="20"/>
      <c r="D60" s="20"/>
      <c r="E60" s="20"/>
      <c r="F60" s="20"/>
      <c r="G60" s="20"/>
      <c r="H60" s="31"/>
      <c r="I60" s="33"/>
      <c r="J60" s="1" t="str">
        <f t="shared" ref="J60:N60" si="147">IF(C60="","", LOOKUP(C60, $D$160:$D$223, E$160:E$223))</f>
        <v/>
      </c>
      <c r="K60" s="1" t="str">
        <f t="shared" si="147"/>
        <v/>
      </c>
      <c r="L60" s="1" t="str">
        <f t="shared" si="147"/>
        <v/>
      </c>
      <c r="M60" s="1" t="str">
        <f t="shared" si="147"/>
        <v/>
      </c>
      <c r="N60" s="1" t="str">
        <f t="shared" si="147"/>
        <v/>
      </c>
      <c r="O60" s="1" t="str">
        <f t="shared" si="135"/>
        <v/>
      </c>
      <c r="P60" s="1" t="str">
        <f t="shared" si="136"/>
        <v/>
      </c>
      <c r="Q60" s="1"/>
      <c r="R60" s="1" t="str">
        <f t="shared" si="148"/>
        <v/>
      </c>
      <c r="S60" s="1"/>
      <c r="T60" s="1"/>
      <c r="U60" s="1"/>
      <c r="V60" s="1" t="s">
        <v>12</v>
      </c>
      <c r="W60" s="1" t="s">
        <v>13</v>
      </c>
      <c r="X60" s="1" t="s">
        <v>14</v>
      </c>
      <c r="Y60" s="1" t="s">
        <v>15</v>
      </c>
      <c r="Z60" s="1" t="s">
        <v>16</v>
      </c>
      <c r="AA60" s="1" t="s">
        <v>17</v>
      </c>
      <c r="AB60" s="1" t="s">
        <v>18</v>
      </c>
      <c r="AC60" s="1"/>
      <c r="AD60" s="1"/>
      <c r="AE60" s="1"/>
      <c r="AF60" s="1"/>
      <c r="AG60" s="1"/>
      <c r="AH60" s="1"/>
      <c r="AI60" s="1"/>
      <c r="AJ60" s="1"/>
      <c r="AK60" s="1"/>
    </row>
    <row r="61" ht="12.75" customHeight="1">
      <c r="A61" s="1"/>
      <c r="B61" s="2"/>
      <c r="C61" s="2" t="s">
        <v>12</v>
      </c>
      <c r="D61" s="2" t="s">
        <v>13</v>
      </c>
      <c r="E61" s="2" t="s">
        <v>14</v>
      </c>
      <c r="F61" s="2" t="s">
        <v>15</v>
      </c>
      <c r="G61" s="2" t="s">
        <v>16</v>
      </c>
      <c r="H61" s="2" t="s">
        <v>17</v>
      </c>
      <c r="I61" s="2" t="s">
        <v>18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7" t="s">
        <v>19</v>
      </c>
      <c r="U61" s="18">
        <v>17.0</v>
      </c>
      <c r="V61" s="19"/>
      <c r="W61" s="20"/>
      <c r="X61" s="21"/>
      <c r="Y61" s="21"/>
      <c r="Z61" s="21"/>
      <c r="AA61" s="20"/>
      <c r="AB61" s="22"/>
      <c r="AC61" s="1" t="str">
        <f t="shared" ref="AC61:AG61" si="149">IF(V61="","", LOOKUP(V61, $D$160:$D$223, E$160:E$223))</f>
        <v/>
      </c>
      <c r="AD61" s="1" t="str">
        <f t="shared" si="149"/>
        <v/>
      </c>
      <c r="AE61" s="1" t="str">
        <f t="shared" si="149"/>
        <v/>
      </c>
      <c r="AF61" s="1" t="str">
        <f t="shared" si="149"/>
        <v/>
      </c>
      <c r="AG61" s="1" t="str">
        <f t="shared" si="149"/>
        <v/>
      </c>
      <c r="AH61" s="1" t="str">
        <f t="shared" ref="AH61:AH66" si="152">if(AA61=1, 1, IF(AA61="", "", If(AA61&gt;$K$212, $L$212, if(AA61&gt;$K$211, $L$211, if(AA61&gt;$K$210, $L$210, if(AA61&gt;$K$209, $L$209, if(AA61&gt;$K$208, $L$208, if(AA61&gt;$K$206, $L$206, if(AA61&gt;$K$204, $L$204, if(AA61&gt;$K$202, $L$202, if(AA61&gt;$K$200, $L$200, if(AA61&gt;$K$198, $L$198, if(AA61&gt;$K$194, $L$194, if(AA61&gt;$K$190, $L$190, if(AA61&gt;$K$186, $L$186, if(AA61&gt;$K$182, $L$182, if(AA61&gt;$K$178, $L$178, $L$178)))))))))))))))))</f>
        <v/>
      </c>
      <c r="AI61" s="1" t="str">
        <f t="shared" ref="AI61:AI66" si="153">IF(SUM(AC61:AH61)=0, "", SUM(AC61:AH61))</f>
        <v/>
      </c>
      <c r="AJ61" s="1"/>
      <c r="AK61" s="1" t="str">
        <f>IF(AI61="", "", IF(AI62="", IF(AI63="",AI61-AB61-1-AI64, AI61-AB61-1-AI63), AI61-AB61-1-AI62))</f>
        <v/>
      </c>
    </row>
    <row r="62" ht="12.75" customHeight="1">
      <c r="A62" s="17" t="s">
        <v>19</v>
      </c>
      <c r="B62" s="18">
        <v>8.0</v>
      </c>
      <c r="C62" s="19"/>
      <c r="D62" s="20"/>
      <c r="E62" s="21"/>
      <c r="F62" s="21"/>
      <c r="G62" s="21"/>
      <c r="H62" s="20"/>
      <c r="I62" s="35"/>
      <c r="J62" s="1" t="str">
        <f t="shared" ref="J62:N62" si="150">IF(C62="","", LOOKUP(C62, $D$160:$D$223, E$160:E$223))</f>
        <v/>
      </c>
      <c r="K62" s="1" t="str">
        <f t="shared" si="150"/>
        <v/>
      </c>
      <c r="L62" s="1" t="str">
        <f t="shared" si="150"/>
        <v/>
      </c>
      <c r="M62" s="1" t="str">
        <f t="shared" si="150"/>
        <v/>
      </c>
      <c r="N62" s="1" t="str">
        <f t="shared" si="150"/>
        <v/>
      </c>
      <c r="O62" s="1" t="str">
        <f t="shared" ref="O62:O67" si="155">if(H62=1, 1, IF(H62="", "", If(H62&gt;$K$212, $L$212, if(H62&gt;$K$211, $L$211, if(H62&gt;$K$210, $L$210, if(H62&gt;$K$209, $L$209, if(H62&gt;$K$208, $L$208, if(H62&gt;$K$206, $L$206, if(H62&gt;$K$204, $L$204, if(H62&gt;$K$202, $L$202, if(H62&gt;$K$200, $L$200, if(H62&gt;$K$198, $L$198, if(H62&gt;$K$194, $L$194, if(H62&gt;$K$190, $L$190, if(H62&gt;$K$186, $L$186, if(H62&gt;$K$182, $L$182, if(H62&gt;$K$178, $L$178, $L$178)))))))))))))))))</f>
        <v/>
      </c>
      <c r="P62" s="1" t="str">
        <f t="shared" ref="P62:P67" si="156">IF(SUM(J62:O62)=0, "", SUM(J62:O62))</f>
        <v/>
      </c>
      <c r="Q62" s="1"/>
      <c r="R62" s="1" t="str">
        <f>IF(P62="", "", IF(P63="", IF(P64="",P62-I62-1-P65, P62-I62-1-P64), P62-I62-1-P63))</f>
        <v/>
      </c>
      <c r="S62" s="1"/>
      <c r="T62" s="23" t="s">
        <v>20</v>
      </c>
      <c r="U62" s="21"/>
      <c r="V62" s="20"/>
      <c r="W62" s="25"/>
      <c r="X62" s="23"/>
      <c r="Y62" s="24"/>
      <c r="Z62" s="24"/>
      <c r="AA62" s="20"/>
      <c r="AB62" s="24"/>
      <c r="AC62" s="1" t="str">
        <f t="shared" ref="AC62:AG62" si="151">IF(V62="","", LOOKUP(V62, $D$160:$D$223, E$160:E$223))</f>
        <v/>
      </c>
      <c r="AD62" s="1" t="str">
        <f t="shared" si="151"/>
        <v/>
      </c>
      <c r="AE62" s="1" t="str">
        <f t="shared" si="151"/>
        <v/>
      </c>
      <c r="AF62" s="1" t="str">
        <f t="shared" si="151"/>
        <v/>
      </c>
      <c r="AG62" s="1" t="str">
        <f t="shared" si="151"/>
        <v/>
      </c>
      <c r="AH62" s="1" t="str">
        <f t="shared" si="152"/>
        <v/>
      </c>
      <c r="AI62" s="1" t="str">
        <f t="shared" si="153"/>
        <v/>
      </c>
      <c r="AJ62" s="1"/>
      <c r="AK62" s="1" t="str">
        <f t="shared" ref="AK62:AK64" si="158">IF(AI62="", "", IF(AI63="", AI62-AB62-1-AI64, AI62-AB62-1-AI63))</f>
        <v/>
      </c>
    </row>
    <row r="63" ht="12.75" customHeight="1">
      <c r="A63" s="23" t="s">
        <v>20</v>
      </c>
      <c r="B63" s="21"/>
      <c r="C63" s="20"/>
      <c r="D63" s="24"/>
      <c r="E63" s="23"/>
      <c r="F63" s="24"/>
      <c r="G63" s="24"/>
      <c r="H63" s="20"/>
      <c r="I63" s="24"/>
      <c r="J63" s="1" t="str">
        <f t="shared" ref="J63:N63" si="154">IF(C63="","", LOOKUP(C63, $D$160:$D$223, E$160:E$223))</f>
        <v/>
      </c>
      <c r="K63" s="1" t="str">
        <f t="shared" si="154"/>
        <v/>
      </c>
      <c r="L63" s="1" t="str">
        <f t="shared" si="154"/>
        <v/>
      </c>
      <c r="M63" s="1" t="str">
        <f t="shared" si="154"/>
        <v/>
      </c>
      <c r="N63" s="1" t="str">
        <f t="shared" si="154"/>
        <v/>
      </c>
      <c r="O63" s="1" t="str">
        <f t="shared" si="155"/>
        <v/>
      </c>
      <c r="P63" s="1" t="str">
        <f t="shared" si="156"/>
        <v/>
      </c>
      <c r="Q63" s="1"/>
      <c r="R63" s="1" t="str">
        <f t="shared" ref="R63:R65" si="160">IF(P63="", "", IF(P64="", P63-I63-1-P65, P63-I63-1-P64))</f>
        <v/>
      </c>
      <c r="S63" s="1"/>
      <c r="U63" s="21"/>
      <c r="V63" s="24"/>
      <c r="W63" s="23"/>
      <c r="X63" s="23"/>
      <c r="Y63" s="24"/>
      <c r="Z63" s="24"/>
      <c r="AA63" s="20"/>
      <c r="AB63" s="24"/>
      <c r="AC63" s="1" t="str">
        <f t="shared" ref="AC63:AG63" si="157">IF(V63="","", LOOKUP(V63, $D$160:$D$223, E$160:E$223))</f>
        <v/>
      </c>
      <c r="AD63" s="1" t="str">
        <f t="shared" si="157"/>
        <v/>
      </c>
      <c r="AE63" s="1" t="str">
        <f t="shared" si="157"/>
        <v/>
      </c>
      <c r="AF63" s="1" t="str">
        <f t="shared" si="157"/>
        <v/>
      </c>
      <c r="AG63" s="1" t="str">
        <f t="shared" si="157"/>
        <v/>
      </c>
      <c r="AH63" s="1" t="str">
        <f t="shared" si="152"/>
        <v/>
      </c>
      <c r="AI63" s="1" t="str">
        <f t="shared" si="153"/>
        <v/>
      </c>
      <c r="AJ63" s="1"/>
      <c r="AK63" s="1" t="str">
        <f t="shared" si="158"/>
        <v/>
      </c>
    </row>
    <row r="64" ht="12.75" customHeight="1">
      <c r="B64" s="21"/>
      <c r="C64" s="23"/>
      <c r="D64" s="25"/>
      <c r="E64" s="23"/>
      <c r="F64" s="24"/>
      <c r="G64" s="24"/>
      <c r="H64" s="20"/>
      <c r="I64" s="24"/>
      <c r="J64" s="1" t="str">
        <f t="shared" ref="J64:N64" si="159">IF(C64="","", LOOKUP(C64, $D$160:$D$223, E$160:E$223))</f>
        <v/>
      </c>
      <c r="K64" s="36" t="str">
        <f t="shared" si="159"/>
        <v/>
      </c>
      <c r="L64" s="1" t="str">
        <f t="shared" si="159"/>
        <v/>
      </c>
      <c r="M64" s="1" t="str">
        <f t="shared" si="159"/>
        <v/>
      </c>
      <c r="N64" s="1" t="str">
        <f t="shared" si="159"/>
        <v/>
      </c>
      <c r="O64" s="1" t="str">
        <f t="shared" si="155"/>
        <v/>
      </c>
      <c r="P64" s="1" t="str">
        <f t="shared" si="156"/>
        <v/>
      </c>
      <c r="Q64" s="1"/>
      <c r="R64" s="1" t="str">
        <f t="shared" si="160"/>
        <v/>
      </c>
      <c r="S64" s="1"/>
      <c r="T64" s="26" t="s">
        <v>21</v>
      </c>
      <c r="U64" s="21"/>
      <c r="V64" s="20"/>
      <c r="W64" s="26"/>
      <c r="X64" s="26"/>
      <c r="Y64" s="26"/>
      <c r="Z64" s="27"/>
      <c r="AA64" s="21"/>
      <c r="AB64" s="27"/>
      <c r="AC64" s="1" t="str">
        <f t="shared" ref="AC64:AG64" si="161">IF(V64="","", LOOKUP(V64, $D$160:$D$223, E$160:E$223))</f>
        <v/>
      </c>
      <c r="AD64" s="1" t="str">
        <f t="shared" si="161"/>
        <v/>
      </c>
      <c r="AE64" s="1" t="str">
        <f t="shared" si="161"/>
        <v/>
      </c>
      <c r="AF64" s="1" t="str">
        <f t="shared" si="161"/>
        <v/>
      </c>
      <c r="AG64" s="1" t="str">
        <f t="shared" si="161"/>
        <v/>
      </c>
      <c r="AH64" s="1" t="str">
        <f t="shared" si="152"/>
        <v/>
      </c>
      <c r="AI64" s="1" t="str">
        <f t="shared" si="153"/>
        <v/>
      </c>
      <c r="AJ64" s="1"/>
      <c r="AK64" s="1" t="str">
        <f t="shared" si="158"/>
        <v/>
      </c>
    </row>
    <row r="65" ht="12.75" customHeight="1">
      <c r="A65" s="26" t="s">
        <v>21</v>
      </c>
      <c r="B65" s="21"/>
      <c r="C65" s="20"/>
      <c r="D65" s="26"/>
      <c r="E65" s="26"/>
      <c r="F65" s="26"/>
      <c r="G65" s="27"/>
      <c r="H65" s="21"/>
      <c r="I65" s="27"/>
      <c r="J65" s="1" t="str">
        <f t="shared" ref="J65:N65" si="162">IF(C65="","", LOOKUP(C65, $D$160:$D$223, E$160:E$223))</f>
        <v/>
      </c>
      <c r="K65" s="1" t="str">
        <f t="shared" si="162"/>
        <v/>
      </c>
      <c r="L65" s="1" t="str">
        <f t="shared" si="162"/>
        <v/>
      </c>
      <c r="M65" s="1" t="str">
        <f t="shared" si="162"/>
        <v/>
      </c>
      <c r="N65" s="1" t="str">
        <f t="shared" si="162"/>
        <v/>
      </c>
      <c r="O65" s="1" t="str">
        <f t="shared" si="155"/>
        <v/>
      </c>
      <c r="P65" s="1" t="str">
        <f t="shared" si="156"/>
        <v/>
      </c>
      <c r="Q65" s="1"/>
      <c r="R65" s="1" t="str">
        <f t="shared" si="160"/>
        <v/>
      </c>
      <c r="S65" s="1"/>
      <c r="T65" s="28" t="s">
        <v>22</v>
      </c>
      <c r="U65" s="21"/>
      <c r="V65" s="20"/>
      <c r="W65" s="20"/>
      <c r="X65" s="20"/>
      <c r="Y65" s="20"/>
      <c r="Z65" s="20"/>
      <c r="AA65" s="28"/>
      <c r="AB65" s="30"/>
      <c r="AC65" s="1" t="str">
        <f t="shared" ref="AC65:AG65" si="163">IF(V65="","", LOOKUP(V65, $D$160:$D$223, E$160:E$223))</f>
        <v/>
      </c>
      <c r="AD65" s="1" t="str">
        <f t="shared" si="163"/>
        <v/>
      </c>
      <c r="AE65" s="1" t="str">
        <f t="shared" si="163"/>
        <v/>
      </c>
      <c r="AF65" s="1" t="str">
        <f t="shared" si="163"/>
        <v/>
      </c>
      <c r="AG65" s="1" t="str">
        <f t="shared" si="163"/>
        <v/>
      </c>
      <c r="AH65" s="1" t="str">
        <f t="shared" si="152"/>
        <v/>
      </c>
      <c r="AI65" s="1" t="str">
        <f t="shared" si="153"/>
        <v/>
      </c>
      <c r="AJ65" s="1"/>
      <c r="AK65" s="1" t="str">
        <f t="shared" ref="AK65:AK66" si="166">IF(AI65="", "", AI65-AB65-1-AI66)</f>
        <v/>
      </c>
    </row>
    <row r="66" ht="12.75" customHeight="1">
      <c r="A66" s="28" t="s">
        <v>22</v>
      </c>
      <c r="B66" s="21"/>
      <c r="C66" s="20"/>
      <c r="D66" s="20"/>
      <c r="E66" s="20"/>
      <c r="F66" s="20"/>
      <c r="G66" s="20"/>
      <c r="H66" s="28"/>
      <c r="I66" s="30"/>
      <c r="J66" s="1" t="str">
        <f t="shared" ref="J66:N66" si="164">IF(C66="","", LOOKUP(C66, $D$160:$D$223, E$160:E$223))</f>
        <v/>
      </c>
      <c r="K66" s="1" t="str">
        <f t="shared" si="164"/>
        <v/>
      </c>
      <c r="L66" s="1" t="str">
        <f t="shared" si="164"/>
        <v/>
      </c>
      <c r="M66" s="1" t="str">
        <f t="shared" si="164"/>
        <v/>
      </c>
      <c r="N66" s="1" t="str">
        <f t="shared" si="164"/>
        <v/>
      </c>
      <c r="O66" s="1" t="str">
        <f t="shared" si="155"/>
        <v/>
      </c>
      <c r="P66" s="1" t="str">
        <f t="shared" si="156"/>
        <v/>
      </c>
      <c r="Q66" s="1"/>
      <c r="R66" s="1" t="str">
        <f t="shared" ref="R66:R67" si="168">IF(P66="", "", P66-I66-1-P67)</f>
        <v/>
      </c>
      <c r="S66" s="1"/>
      <c r="T66" s="1"/>
      <c r="U66" s="21"/>
      <c r="V66" s="20"/>
      <c r="W66" s="20"/>
      <c r="X66" s="20"/>
      <c r="Y66" s="20"/>
      <c r="Z66" s="20"/>
      <c r="AA66" s="31"/>
      <c r="AB66" s="33"/>
      <c r="AC66" s="1" t="str">
        <f t="shared" ref="AC66:AG66" si="165">IF(V66="","", LOOKUP(V66, $D$160:$D$223, E$160:E$223))</f>
        <v/>
      </c>
      <c r="AD66" s="1" t="str">
        <f t="shared" si="165"/>
        <v/>
      </c>
      <c r="AE66" s="1" t="str">
        <f t="shared" si="165"/>
        <v/>
      </c>
      <c r="AF66" s="1" t="str">
        <f t="shared" si="165"/>
        <v/>
      </c>
      <c r="AG66" s="1" t="str">
        <f t="shared" si="165"/>
        <v/>
      </c>
      <c r="AH66" s="1" t="str">
        <f t="shared" si="152"/>
        <v/>
      </c>
      <c r="AI66" s="1" t="str">
        <f t="shared" si="153"/>
        <v/>
      </c>
      <c r="AJ66" s="1"/>
      <c r="AK66" s="1" t="str">
        <f t="shared" si="166"/>
        <v/>
      </c>
    </row>
    <row r="67" ht="12.75" customHeight="1">
      <c r="A67" s="1"/>
      <c r="B67" s="21"/>
      <c r="C67" s="20"/>
      <c r="D67" s="20"/>
      <c r="E67" s="20"/>
      <c r="F67" s="20"/>
      <c r="G67" s="20"/>
      <c r="H67" s="31"/>
      <c r="I67" s="33"/>
      <c r="J67" s="1" t="str">
        <f t="shared" ref="J67:N67" si="167">IF(C67="","", LOOKUP(C67, $D$160:$D$223, E$160:E$223))</f>
        <v/>
      </c>
      <c r="K67" s="1" t="str">
        <f t="shared" si="167"/>
        <v/>
      </c>
      <c r="L67" s="1" t="str">
        <f t="shared" si="167"/>
        <v/>
      </c>
      <c r="M67" s="1" t="str">
        <f t="shared" si="167"/>
        <v/>
      </c>
      <c r="N67" s="1" t="str">
        <f t="shared" si="167"/>
        <v/>
      </c>
      <c r="O67" s="1" t="str">
        <f t="shared" si="155"/>
        <v/>
      </c>
      <c r="P67" s="1" t="str">
        <f t="shared" si="156"/>
        <v/>
      </c>
      <c r="Q67" s="1"/>
      <c r="R67" s="1" t="str">
        <f t="shared" si="168"/>
        <v/>
      </c>
      <c r="S67" s="1"/>
      <c r="T67" s="1"/>
      <c r="U67" s="1"/>
      <c r="V67" s="1" t="s">
        <v>12</v>
      </c>
      <c r="W67" s="1" t="s">
        <v>13</v>
      </c>
      <c r="X67" s="1" t="s">
        <v>14</v>
      </c>
      <c r="Y67" s="1" t="s">
        <v>15</v>
      </c>
      <c r="Z67" s="1" t="s">
        <v>16</v>
      </c>
      <c r="AA67" s="1" t="s">
        <v>17</v>
      </c>
      <c r="AB67" s="1"/>
      <c r="AC67" s="1"/>
      <c r="AD67" s="1"/>
      <c r="AE67" s="1"/>
      <c r="AF67" s="1"/>
      <c r="AG67" s="1"/>
      <c r="AH67" s="1"/>
      <c r="AI67" s="1"/>
      <c r="AJ67" s="1"/>
      <c r="AK67" s="1" t="s">
        <v>18</v>
      </c>
    </row>
    <row r="68" ht="12.75" customHeight="1">
      <c r="A68" s="1"/>
      <c r="B68" s="1"/>
      <c r="C68" s="2" t="s">
        <v>12</v>
      </c>
      <c r="D68" s="2" t="s">
        <v>13</v>
      </c>
      <c r="E68" s="2" t="s">
        <v>14</v>
      </c>
      <c r="F68" s="2" t="s">
        <v>15</v>
      </c>
      <c r="G68" s="2" t="s">
        <v>16</v>
      </c>
      <c r="H68" s="2" t="s">
        <v>17</v>
      </c>
      <c r="I68" s="2" t="s">
        <v>18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7" t="s">
        <v>19</v>
      </c>
      <c r="U68" s="18">
        <v>18.0</v>
      </c>
      <c r="V68" s="19"/>
      <c r="W68" s="20"/>
      <c r="X68" s="21"/>
      <c r="Y68" s="21"/>
      <c r="Z68" s="21"/>
      <c r="AA68" s="20"/>
      <c r="AB68" s="17"/>
      <c r="AC68" s="1" t="str">
        <f t="shared" ref="AC68:AG68" si="169">IF(V68="","", LOOKUP(V68, $D$160:$D$223, E$160:E$223))</f>
        <v/>
      </c>
      <c r="AD68" s="1" t="str">
        <f t="shared" si="169"/>
        <v/>
      </c>
      <c r="AE68" s="1" t="str">
        <f t="shared" si="169"/>
        <v/>
      </c>
      <c r="AF68" s="1" t="str">
        <f t="shared" si="169"/>
        <v/>
      </c>
      <c r="AG68" s="1" t="str">
        <f t="shared" si="169"/>
        <v/>
      </c>
      <c r="AH68" s="1" t="str">
        <f t="shared" ref="AH68:AH73" si="172">if(AA68=1, 1, IF(AA68="", "", If(AA68&gt;$K$212, $L$212, if(AA68&gt;$K$211, $L$211, if(AA68&gt;$K$210, $L$210, if(AA68&gt;$K$209, $L$209, if(AA68&gt;$K$208, $L$208, if(AA68&gt;$K$206, $L$206, if(AA68&gt;$K$204, $L$204, if(AA68&gt;$K$202, $L$202, if(AA68&gt;$K$200, $L$200, if(AA68&gt;$K$198, $L$198, if(AA68&gt;$K$194, $L$194, if(AA68&gt;$K$190, $L$190, if(AA68&gt;$K$186, $L$186, if(AA68&gt;$K$182, $L$182, if(AA68&gt;$K$178, $L$178, $L$178)))))))))))))))))</f>
        <v/>
      </c>
      <c r="AI68" s="1" t="str">
        <f t="shared" ref="AI68:AI73" si="173">IF(SUM(AC68:AH68)=0, "", SUM(AC68:AH68))</f>
        <v/>
      </c>
      <c r="AJ68" s="1"/>
      <c r="AK68" s="1" t="str">
        <f>IF(AI68="", "", IF(AI69="", IF(AI70="",AI68-AB68-1-AI71, AI68-AB68-1-AI70), AI68-AB68-1-AI69))</f>
        <v/>
      </c>
    </row>
    <row r="69" ht="12.75" customHeight="1">
      <c r="A69" s="17" t="s">
        <v>19</v>
      </c>
      <c r="B69" s="18">
        <v>9.0</v>
      </c>
      <c r="C69" s="19"/>
      <c r="D69" s="20"/>
      <c r="E69" s="21"/>
      <c r="F69" s="21"/>
      <c r="G69" s="21"/>
      <c r="H69" s="20"/>
      <c r="I69" s="17"/>
      <c r="J69" s="1" t="str">
        <f t="shared" ref="J69:N69" si="170">IF(C69="","", LOOKUP(C69, $D$160:$D$223, E$160:E$223))</f>
        <v/>
      </c>
      <c r="K69" s="1" t="str">
        <f t="shared" si="170"/>
        <v/>
      </c>
      <c r="L69" s="1" t="str">
        <f t="shared" si="170"/>
        <v/>
      </c>
      <c r="M69" s="1" t="str">
        <f t="shared" si="170"/>
        <v/>
      </c>
      <c r="N69" s="1" t="str">
        <f t="shared" si="170"/>
        <v/>
      </c>
      <c r="O69" s="1" t="str">
        <f t="shared" ref="O69:O74" si="175">if(H69=1, 1, IF(H69="", "", If(H69&gt;$K$212, $L$212, if(H69&gt;$K$211, $L$211, if(H69&gt;$K$210, $L$210, if(H69&gt;$K$209, $L$209, if(H69&gt;$K$208, $L$208, if(H69&gt;$K$206, $L$206, if(H69&gt;$K$204, $L$204, if(H69&gt;$K$202, $L$202, if(H69&gt;$K$200, $L$200, if(H69&gt;$K$198, $L$198, if(H69&gt;$K$194, $L$194, if(H69&gt;$K$190, $L$190, if(H69&gt;$K$186, $L$186, if(H69&gt;$K$182, $L$182, if(H69&gt;$K$178, $L$178, $L$178)))))))))))))))))</f>
        <v/>
      </c>
      <c r="P69" s="1" t="str">
        <f t="shared" ref="P69:P74" si="176">IF(SUM(J69:O69)=0, "", SUM(J69:O69))</f>
        <v/>
      </c>
      <c r="Q69" s="1"/>
      <c r="R69" s="1" t="str">
        <f>IF(P69="", "", IF(P70="", IF(P71="",P69-I69-1-P72, P69-I69-1-P71), P69-I69-1-P70))</f>
        <v/>
      </c>
      <c r="S69" s="1"/>
      <c r="T69" s="23" t="s">
        <v>20</v>
      </c>
      <c r="U69" s="21"/>
      <c r="V69" s="20"/>
      <c r="W69" s="24"/>
      <c r="X69" s="23"/>
      <c r="Y69" s="24"/>
      <c r="Z69" s="25"/>
      <c r="AA69" s="20"/>
      <c r="AB69" s="24"/>
      <c r="AC69" s="1" t="str">
        <f t="shared" ref="AC69:AG69" si="171">IF(V69="","", LOOKUP(V69, $D$160:$D$223, E$160:E$223))</f>
        <v/>
      </c>
      <c r="AD69" s="1" t="str">
        <f t="shared" si="171"/>
        <v/>
      </c>
      <c r="AE69" s="1" t="str">
        <f t="shared" si="171"/>
        <v/>
      </c>
      <c r="AF69" s="1" t="str">
        <f t="shared" si="171"/>
        <v/>
      </c>
      <c r="AG69" s="1" t="str">
        <f t="shared" si="171"/>
        <v/>
      </c>
      <c r="AH69" s="1" t="str">
        <f t="shared" si="172"/>
        <v/>
      </c>
      <c r="AI69" s="1" t="str">
        <f t="shared" si="173"/>
        <v/>
      </c>
      <c r="AJ69" s="1"/>
      <c r="AK69" s="1" t="str">
        <f t="shared" ref="AK69:AK71" si="178">IF(AI69="", "", IF(AI70="", AI69-AB69-1-AI71, AI69-AB69-1-AI70))</f>
        <v/>
      </c>
    </row>
    <row r="70" ht="12.75" customHeight="1">
      <c r="A70" s="23" t="s">
        <v>20</v>
      </c>
      <c r="B70" s="21"/>
      <c r="C70" s="20"/>
      <c r="D70" s="23"/>
      <c r="E70" s="23"/>
      <c r="F70" s="24"/>
      <c r="G70" s="24"/>
      <c r="H70" s="20"/>
      <c r="I70" s="24"/>
      <c r="J70" s="1" t="str">
        <f t="shared" ref="J70:N70" si="174">IF(C70="","", LOOKUP(C70, $D$160:$D$223, E$160:E$223))</f>
        <v/>
      </c>
      <c r="K70" s="1" t="str">
        <f t="shared" si="174"/>
        <v/>
      </c>
      <c r="L70" s="1" t="str">
        <f t="shared" si="174"/>
        <v/>
      </c>
      <c r="M70" s="1" t="str">
        <f t="shared" si="174"/>
        <v/>
      </c>
      <c r="N70" s="1" t="str">
        <f t="shared" si="174"/>
        <v/>
      </c>
      <c r="O70" s="1" t="str">
        <f t="shared" si="175"/>
        <v/>
      </c>
      <c r="P70" s="1" t="str">
        <f t="shared" si="176"/>
        <v/>
      </c>
      <c r="Q70" s="1"/>
      <c r="R70" s="1" t="str">
        <f t="shared" ref="R70:R72" si="180">IF(P70="", "", IF(P71="", P70-I70-1-P72, P70-I70-1-P71))</f>
        <v/>
      </c>
      <c r="S70" s="1"/>
      <c r="U70" s="21"/>
      <c r="V70" s="24"/>
      <c r="W70" s="23"/>
      <c r="X70" s="23"/>
      <c r="Y70" s="24"/>
      <c r="Z70" s="25"/>
      <c r="AA70" s="20"/>
      <c r="AB70" s="24"/>
      <c r="AC70" s="1" t="str">
        <f t="shared" ref="AC70:AG70" si="177">IF(V70="","", LOOKUP(V70, $D$160:$D$223, E$160:E$223))</f>
        <v/>
      </c>
      <c r="AD70" s="1" t="str">
        <f t="shared" si="177"/>
        <v/>
      </c>
      <c r="AE70" s="1" t="str">
        <f t="shared" si="177"/>
        <v/>
      </c>
      <c r="AF70" s="1" t="str">
        <f t="shared" si="177"/>
        <v/>
      </c>
      <c r="AG70" s="1" t="str">
        <f t="shared" si="177"/>
        <v/>
      </c>
      <c r="AH70" s="1" t="str">
        <f t="shared" si="172"/>
        <v/>
      </c>
      <c r="AI70" s="1" t="str">
        <f t="shared" si="173"/>
        <v/>
      </c>
      <c r="AJ70" s="1"/>
      <c r="AK70" s="1" t="str">
        <f t="shared" si="178"/>
        <v/>
      </c>
    </row>
    <row r="71" ht="12.75" customHeight="1">
      <c r="B71" s="21"/>
      <c r="C71" s="24"/>
      <c r="D71" s="23"/>
      <c r="E71" s="23"/>
      <c r="F71" s="24"/>
      <c r="G71" s="24"/>
      <c r="H71" s="20"/>
      <c r="I71" s="24"/>
      <c r="J71" s="1" t="str">
        <f t="shared" ref="J71:N71" si="179">IF(C71="","", LOOKUP(C71, $D$160:$D$223, E$160:E$223))</f>
        <v/>
      </c>
      <c r="K71" s="1" t="str">
        <f t="shared" si="179"/>
        <v/>
      </c>
      <c r="L71" s="1" t="str">
        <f t="shared" si="179"/>
        <v/>
      </c>
      <c r="M71" s="1" t="str">
        <f t="shared" si="179"/>
        <v/>
      </c>
      <c r="N71" s="1" t="str">
        <f t="shared" si="179"/>
        <v/>
      </c>
      <c r="O71" s="1" t="str">
        <f t="shared" si="175"/>
        <v/>
      </c>
      <c r="P71" s="1" t="str">
        <f t="shared" si="176"/>
        <v/>
      </c>
      <c r="Q71" s="1"/>
      <c r="R71" s="1" t="str">
        <f t="shared" si="180"/>
        <v/>
      </c>
      <c r="S71" s="1"/>
      <c r="T71" s="26" t="s">
        <v>21</v>
      </c>
      <c r="U71" s="21"/>
      <c r="V71" s="20"/>
      <c r="W71" s="26"/>
      <c r="X71" s="26"/>
      <c r="Y71" s="26"/>
      <c r="Z71" s="27"/>
      <c r="AA71" s="21"/>
      <c r="AB71" s="27"/>
      <c r="AC71" s="1" t="str">
        <f t="shared" ref="AC71:AG71" si="181">IF(V71="","", LOOKUP(V71, $D$160:$D$223, E$160:E$223))</f>
        <v/>
      </c>
      <c r="AD71" s="1" t="str">
        <f t="shared" si="181"/>
        <v/>
      </c>
      <c r="AE71" s="1" t="str">
        <f t="shared" si="181"/>
        <v/>
      </c>
      <c r="AF71" s="1" t="str">
        <f t="shared" si="181"/>
        <v/>
      </c>
      <c r="AG71" s="1" t="str">
        <f t="shared" si="181"/>
        <v/>
      </c>
      <c r="AH71" s="1" t="str">
        <f t="shared" si="172"/>
        <v/>
      </c>
      <c r="AI71" s="1" t="str">
        <f t="shared" si="173"/>
        <v/>
      </c>
      <c r="AJ71" s="1"/>
      <c r="AK71" s="1" t="str">
        <f t="shared" si="178"/>
        <v/>
      </c>
    </row>
    <row r="72" ht="12.75" customHeight="1">
      <c r="A72" s="26" t="s">
        <v>21</v>
      </c>
      <c r="B72" s="21"/>
      <c r="C72" s="20"/>
      <c r="D72" s="26"/>
      <c r="E72" s="26"/>
      <c r="F72" s="26"/>
      <c r="G72" s="27"/>
      <c r="H72" s="21"/>
      <c r="I72" s="27"/>
      <c r="J72" s="1" t="str">
        <f t="shared" ref="J72:N72" si="182">IF(C72="","", LOOKUP(C72, $D$160:$D$223, E$160:E$223))</f>
        <v/>
      </c>
      <c r="K72" s="1" t="str">
        <f t="shared" si="182"/>
        <v/>
      </c>
      <c r="L72" s="1" t="str">
        <f t="shared" si="182"/>
        <v/>
      </c>
      <c r="M72" s="1" t="str">
        <f t="shared" si="182"/>
        <v/>
      </c>
      <c r="N72" s="1" t="str">
        <f t="shared" si="182"/>
        <v/>
      </c>
      <c r="O72" s="1" t="str">
        <f t="shared" si="175"/>
        <v/>
      </c>
      <c r="P72" s="1" t="str">
        <f t="shared" si="176"/>
        <v/>
      </c>
      <c r="Q72" s="1"/>
      <c r="R72" s="1" t="str">
        <f t="shared" si="180"/>
        <v/>
      </c>
      <c r="S72" s="1"/>
      <c r="T72" s="28" t="s">
        <v>22</v>
      </c>
      <c r="U72" s="21"/>
      <c r="V72" s="20"/>
      <c r="W72" s="20"/>
      <c r="X72" s="20"/>
      <c r="Y72" s="20"/>
      <c r="Z72" s="20"/>
      <c r="AA72" s="28"/>
      <c r="AB72" s="30"/>
      <c r="AC72" s="1" t="str">
        <f t="shared" ref="AC72:AG72" si="183">IF(V72="","", LOOKUP(V72, $D$160:$D$223, E$160:E$223))</f>
        <v/>
      </c>
      <c r="AD72" s="1" t="str">
        <f t="shared" si="183"/>
        <v/>
      </c>
      <c r="AE72" s="1" t="str">
        <f t="shared" si="183"/>
        <v/>
      </c>
      <c r="AF72" s="1" t="str">
        <f t="shared" si="183"/>
        <v/>
      </c>
      <c r="AG72" s="1" t="str">
        <f t="shared" si="183"/>
        <v/>
      </c>
      <c r="AH72" s="1" t="str">
        <f t="shared" si="172"/>
        <v/>
      </c>
      <c r="AI72" s="1" t="str">
        <f t="shared" si="173"/>
        <v/>
      </c>
      <c r="AJ72" s="1"/>
      <c r="AK72" s="1" t="str">
        <f>IF(AI72="", "", AI72-AB72-1-AI73)</f>
        <v/>
      </c>
    </row>
    <row r="73" ht="12.75" customHeight="1">
      <c r="A73" s="28" t="s">
        <v>22</v>
      </c>
      <c r="B73" s="21"/>
      <c r="C73" s="20"/>
      <c r="D73" s="20"/>
      <c r="E73" s="20"/>
      <c r="F73" s="20"/>
      <c r="G73" s="20"/>
      <c r="H73" s="28"/>
      <c r="I73" s="30"/>
      <c r="J73" s="1" t="str">
        <f t="shared" ref="J73:N73" si="184">IF(C73="","", LOOKUP(C73, $D$160:$D$223, E$160:E$223))</f>
        <v/>
      </c>
      <c r="K73" s="1" t="str">
        <f t="shared" si="184"/>
        <v/>
      </c>
      <c r="L73" s="1" t="str">
        <f t="shared" si="184"/>
        <v/>
      </c>
      <c r="M73" s="1" t="str">
        <f t="shared" si="184"/>
        <v/>
      </c>
      <c r="N73" s="1" t="str">
        <f t="shared" si="184"/>
        <v/>
      </c>
      <c r="O73" s="1" t="str">
        <f t="shared" si="175"/>
        <v/>
      </c>
      <c r="P73" s="1" t="str">
        <f t="shared" si="176"/>
        <v/>
      </c>
      <c r="Q73" s="1"/>
      <c r="R73" s="1" t="str">
        <f>IF(P73="", "", P73-I73-1-P74)</f>
        <v/>
      </c>
      <c r="S73" s="1"/>
      <c r="T73" s="1"/>
      <c r="U73" s="21"/>
      <c r="V73" s="20"/>
      <c r="W73" s="20"/>
      <c r="X73" s="20"/>
      <c r="Y73" s="20"/>
      <c r="Z73" s="20"/>
      <c r="AA73" s="31"/>
      <c r="AB73" s="33"/>
      <c r="AC73" s="1" t="str">
        <f t="shared" ref="AC73:AG73" si="185">IF(V73="","", LOOKUP(V73, $D$160:$D$223, E$160:E$223))</f>
        <v/>
      </c>
      <c r="AD73" s="1" t="str">
        <f t="shared" si="185"/>
        <v/>
      </c>
      <c r="AE73" s="1" t="str">
        <f t="shared" si="185"/>
        <v/>
      </c>
      <c r="AF73" s="1" t="str">
        <f t="shared" si="185"/>
        <v/>
      </c>
      <c r="AG73" s="1" t="str">
        <f t="shared" si="185"/>
        <v/>
      </c>
      <c r="AH73" s="1" t="str">
        <f t="shared" si="172"/>
        <v/>
      </c>
      <c r="AI73" s="1" t="str">
        <f t="shared" si="173"/>
        <v/>
      </c>
      <c r="AJ73" s="1"/>
      <c r="AK73" s="1" t="str">
        <f>IF(AI73="", "", AI73-AB73-1-P138)</f>
        <v/>
      </c>
    </row>
    <row r="74" ht="12.75" customHeight="1">
      <c r="A74" s="1"/>
      <c r="B74" s="21"/>
      <c r="C74" s="20"/>
      <c r="D74" s="20"/>
      <c r="E74" s="20"/>
      <c r="F74" s="20"/>
      <c r="G74" s="20"/>
      <c r="H74" s="31"/>
      <c r="I74" s="33"/>
      <c r="J74" s="1" t="str">
        <f t="shared" ref="J74:N74" si="186">IF(C74="","", LOOKUP(C74, $D$160:$D$223, E$160:E$223))</f>
        <v/>
      </c>
      <c r="K74" s="1" t="str">
        <f t="shared" si="186"/>
        <v/>
      </c>
      <c r="L74" s="1" t="str">
        <f t="shared" si="186"/>
        <v/>
      </c>
      <c r="M74" s="1" t="str">
        <f t="shared" si="186"/>
        <v/>
      </c>
      <c r="N74" s="1" t="str">
        <f t="shared" si="186"/>
        <v/>
      </c>
      <c r="O74" s="1" t="str">
        <f t="shared" si="175"/>
        <v/>
      </c>
      <c r="P74" s="1" t="str">
        <f t="shared" si="176"/>
        <v/>
      </c>
      <c r="Q74" s="1"/>
      <c r="R74" s="1" t="str">
        <f>IF(P74="", "", P74-I74-1-AN11)</f>
        <v/>
      </c>
      <c r="S74" s="1"/>
      <c r="T74" s="2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1"/>
      <c r="T75" s="2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1"/>
      <c r="T76" s="2"/>
      <c r="U76" s="2"/>
      <c r="V76" s="2"/>
      <c r="W76" s="2"/>
      <c r="X76" s="2"/>
      <c r="Y76" s="2"/>
      <c r="Z76" s="2"/>
      <c r="AA76" s="2"/>
      <c r="AB76" s="2"/>
      <c r="AC76" s="1"/>
      <c r="AD76" s="2"/>
      <c r="AE76" s="1"/>
      <c r="AF76" s="1"/>
      <c r="AG76" s="1"/>
      <c r="AH76" s="1"/>
      <c r="AI76" s="1"/>
      <c r="AJ76" s="1"/>
      <c r="AK76" s="1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1"/>
      <c r="T77" s="2"/>
      <c r="U77" s="2"/>
      <c r="V77" s="2"/>
      <c r="W77" s="2"/>
      <c r="X77" s="1"/>
      <c r="Y77" s="2"/>
      <c r="Z77" s="2"/>
      <c r="AA77" s="2"/>
      <c r="AB77" s="2"/>
      <c r="AC77" s="2"/>
      <c r="AD77" s="2"/>
      <c r="AE77" s="1"/>
      <c r="AF77" s="1"/>
      <c r="AG77" s="1"/>
      <c r="AH77" s="1"/>
      <c r="AI77" s="1"/>
      <c r="AJ77" s="1"/>
      <c r="AK77" s="1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1"/>
      <c r="T78" s="2"/>
      <c r="U78" s="2"/>
      <c r="V78" s="2"/>
      <c r="W78" s="2"/>
      <c r="X78" s="1"/>
      <c r="Y78" s="2"/>
      <c r="Z78" s="2"/>
      <c r="AA78" s="2"/>
      <c r="AB78" s="2"/>
      <c r="AC78" s="1"/>
      <c r="AD78" s="1"/>
      <c r="AE78" s="1"/>
      <c r="AF78" s="1"/>
      <c r="AG78" s="1"/>
      <c r="AH78" s="1"/>
      <c r="AI78" s="1"/>
      <c r="AJ78" s="1"/>
      <c r="AK78" s="1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1"/>
      <c r="T79" s="2"/>
      <c r="U79" s="2"/>
      <c r="V79" s="2"/>
      <c r="W79" s="2"/>
      <c r="X79" s="2"/>
      <c r="Y79" s="2"/>
      <c r="Z79" s="2"/>
      <c r="AA79" s="2"/>
      <c r="AB79" s="2"/>
      <c r="AC79" s="1"/>
      <c r="AD79" s="1"/>
      <c r="AE79" s="1"/>
      <c r="AF79" s="1"/>
      <c r="AG79" s="1"/>
      <c r="AH79" s="1"/>
      <c r="AI79" s="1"/>
      <c r="AJ79" s="1"/>
      <c r="AK79" s="1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1"/>
      <c r="T80" s="2"/>
      <c r="U80" s="2"/>
      <c r="V80" s="2"/>
      <c r="W80" s="2"/>
      <c r="X80" s="1"/>
      <c r="Y80" s="2"/>
      <c r="Z80" s="2"/>
      <c r="AA80" s="2"/>
      <c r="AB80" s="2"/>
      <c r="AC80" s="1"/>
      <c r="AD80" s="1"/>
      <c r="AE80" s="1"/>
      <c r="AF80" s="1"/>
      <c r="AG80" s="1"/>
      <c r="AH80" s="1"/>
      <c r="AI80" s="1"/>
      <c r="AJ80" s="1"/>
      <c r="AK80" s="1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1"/>
      <c r="T81" s="2"/>
      <c r="U81" s="2"/>
      <c r="V81" s="2"/>
      <c r="W81" s="2"/>
      <c r="X81" s="1"/>
      <c r="Y81" s="2"/>
      <c r="Z81" s="2"/>
      <c r="AA81" s="2"/>
      <c r="AB81" s="2"/>
      <c r="AC81" s="2"/>
      <c r="AD81" s="2"/>
      <c r="AE81" s="1"/>
      <c r="AF81" s="1"/>
      <c r="AG81" s="1"/>
      <c r="AH81" s="1"/>
      <c r="AI81" s="1"/>
      <c r="AJ81" s="1"/>
      <c r="AK81" s="1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1"/>
      <c r="T82" s="2"/>
      <c r="U82" s="2"/>
      <c r="V82" s="2"/>
      <c r="W82" s="2"/>
      <c r="X82" s="1"/>
      <c r="Y82" s="2"/>
      <c r="Z82" s="2"/>
      <c r="AA82" s="2"/>
      <c r="AB82" s="2"/>
      <c r="AC82" s="2"/>
      <c r="AD82" s="2"/>
      <c r="AE82" s="1"/>
      <c r="AF82" s="1"/>
      <c r="AG82" s="1"/>
      <c r="AH82" s="1"/>
      <c r="AI82" s="1"/>
      <c r="AJ82" s="1"/>
      <c r="AK82" s="1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1"/>
      <c r="T83" s="2"/>
      <c r="U83" s="2"/>
      <c r="V83" s="2"/>
      <c r="W83" s="2"/>
      <c r="X83" s="1"/>
      <c r="Y83" s="2"/>
      <c r="Z83" s="2"/>
      <c r="AA83" s="2"/>
      <c r="AB83" s="2"/>
      <c r="AC83" s="2"/>
      <c r="AD83" s="2"/>
      <c r="AE83" s="1"/>
      <c r="AF83" s="1"/>
      <c r="AG83" s="1"/>
      <c r="AH83" s="1"/>
      <c r="AI83" s="1"/>
      <c r="AJ83" s="1"/>
      <c r="AK83" s="1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1"/>
      <c r="T84" s="2"/>
      <c r="U84" s="2"/>
      <c r="V84" s="2"/>
      <c r="W84" s="2"/>
      <c r="X84" s="2"/>
      <c r="Y84" s="2"/>
      <c r="Z84" s="2"/>
      <c r="AA84" s="2"/>
      <c r="AB84" s="2"/>
      <c r="AC84" s="1"/>
      <c r="AD84" s="1"/>
      <c r="AE84" s="1"/>
      <c r="AF84" s="1"/>
      <c r="AG84" s="1"/>
      <c r="AH84" s="1"/>
      <c r="AI84" s="1"/>
      <c r="AJ84" s="1"/>
      <c r="AK84" s="1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1"/>
      <c r="T85" s="2"/>
      <c r="U85" s="2"/>
      <c r="V85" s="2"/>
      <c r="W85" s="2"/>
      <c r="X85" s="1"/>
      <c r="Y85" s="2"/>
      <c r="Z85" s="2"/>
      <c r="AA85" s="2"/>
      <c r="AB85" s="2"/>
      <c r="AC85" s="1"/>
      <c r="AD85" s="1"/>
      <c r="AE85" s="1"/>
      <c r="AF85" s="1"/>
      <c r="AG85" s="1"/>
      <c r="AH85" s="1"/>
      <c r="AI85" s="1"/>
      <c r="AJ85" s="1"/>
      <c r="AK85" s="1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1"/>
      <c r="T86" s="2"/>
      <c r="U86" s="2"/>
      <c r="V86" s="2"/>
      <c r="W86" s="2"/>
      <c r="X86" s="1"/>
      <c r="Y86" s="2"/>
      <c r="Z86" s="2"/>
      <c r="AA86" s="2"/>
      <c r="AB86" s="2"/>
      <c r="AC86" s="1"/>
      <c r="AD86" s="1"/>
      <c r="AE86" s="1"/>
      <c r="AF86" s="1"/>
      <c r="AG86" s="1"/>
      <c r="AH86" s="1"/>
      <c r="AI86" s="1"/>
      <c r="AJ86" s="1"/>
      <c r="AK86" s="1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1"/>
      <c r="T87" s="2"/>
      <c r="U87" s="2"/>
      <c r="V87" s="2"/>
      <c r="W87" s="2"/>
      <c r="X87" s="1"/>
      <c r="Y87" s="2"/>
      <c r="Z87" s="2"/>
      <c r="AA87" s="2"/>
      <c r="AB87" s="2"/>
      <c r="AC87" s="2"/>
      <c r="AD87" s="2"/>
      <c r="AE87" s="1"/>
      <c r="AF87" s="1"/>
      <c r="AG87" s="1"/>
      <c r="AH87" s="1"/>
      <c r="AI87" s="1"/>
      <c r="AJ87" s="1"/>
      <c r="AK87" s="1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1"/>
      <c r="T88" s="2"/>
      <c r="U88" s="2"/>
      <c r="V88" s="2"/>
      <c r="W88" s="2"/>
      <c r="X88" s="1"/>
      <c r="Y88" s="2"/>
      <c r="Z88" s="2"/>
      <c r="AA88" s="2"/>
      <c r="AB88" s="2"/>
      <c r="AC88" s="1"/>
      <c r="AD88" s="1"/>
      <c r="AE88" s="1"/>
      <c r="AF88" s="1"/>
      <c r="AG88" s="1"/>
      <c r="AH88" s="1"/>
      <c r="AI88" s="1"/>
      <c r="AJ88" s="1"/>
      <c r="AK88" s="1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1"/>
      <c r="T89" s="2"/>
      <c r="U89" s="2"/>
      <c r="V89" s="2"/>
      <c r="W89" s="2"/>
      <c r="X89" s="1"/>
      <c r="Y89" s="2"/>
      <c r="Z89" s="2"/>
      <c r="AA89" s="2"/>
      <c r="AB89" s="2"/>
      <c r="AC89" s="1"/>
      <c r="AD89" s="1"/>
      <c r="AE89" s="1"/>
      <c r="AF89" s="1"/>
      <c r="AG89" s="1"/>
      <c r="AH89" s="1"/>
      <c r="AI89" s="1"/>
      <c r="AJ89" s="1"/>
      <c r="AK89" s="1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1"/>
      <c r="T90" s="2"/>
      <c r="U90" s="2"/>
      <c r="V90" s="2"/>
      <c r="W90" s="2"/>
      <c r="X90" s="1"/>
      <c r="Y90" s="2"/>
      <c r="Z90" s="2"/>
      <c r="AA90" s="2"/>
      <c r="AB90" s="2"/>
      <c r="AC90" s="1"/>
      <c r="AD90" s="1"/>
      <c r="AE90" s="1"/>
      <c r="AF90" s="1"/>
      <c r="AG90" s="1"/>
      <c r="AH90" s="1"/>
      <c r="AI90" s="1"/>
      <c r="AJ90" s="1"/>
      <c r="AK90" s="1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1"/>
      <c r="T91" s="2"/>
      <c r="U91" s="2"/>
      <c r="V91" s="2"/>
      <c r="W91" s="2"/>
      <c r="X91" s="1"/>
      <c r="Y91" s="2"/>
      <c r="Z91" s="2"/>
      <c r="AA91" s="2"/>
      <c r="AB91" s="2"/>
      <c r="AC91" s="1"/>
      <c r="AD91" s="1"/>
      <c r="AE91" s="1"/>
      <c r="AF91" s="1"/>
      <c r="AG91" s="1"/>
      <c r="AH91" s="1"/>
      <c r="AI91" s="1"/>
      <c r="AJ91" s="1"/>
      <c r="AK91" s="1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1"/>
      <c r="T92" s="2"/>
      <c r="U92" s="2"/>
      <c r="V92" s="2"/>
      <c r="W92" s="2"/>
      <c r="X92" s="1"/>
      <c r="Y92" s="2"/>
      <c r="Z92" s="2"/>
      <c r="AA92" s="2"/>
      <c r="AB92" s="2"/>
      <c r="AC92" s="1"/>
      <c r="AD92" s="1"/>
      <c r="AE92" s="1"/>
      <c r="AF92" s="1"/>
      <c r="AG92" s="1"/>
      <c r="AH92" s="1"/>
      <c r="AI92" s="1"/>
      <c r="AJ92" s="1"/>
      <c r="AK92" s="1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1"/>
      <c r="T93" s="2"/>
      <c r="U93" s="2"/>
      <c r="V93" s="2"/>
      <c r="W93" s="2"/>
      <c r="X93" s="1"/>
      <c r="Y93" s="2"/>
      <c r="Z93" s="2"/>
      <c r="AA93" s="2"/>
      <c r="AB93" s="2"/>
      <c r="AC93" s="2"/>
      <c r="AD93" s="2"/>
      <c r="AE93" s="1"/>
      <c r="AF93" s="1"/>
      <c r="AG93" s="1"/>
      <c r="AH93" s="1"/>
      <c r="AI93" s="1"/>
      <c r="AJ93" s="1"/>
      <c r="AK93" s="1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1"/>
      <c r="T94" s="1"/>
      <c r="U94" s="2"/>
      <c r="V94" s="1"/>
      <c r="W94" s="1"/>
      <c r="X94" s="2"/>
      <c r="Y94" s="2"/>
      <c r="Z94" s="2"/>
      <c r="AA94" s="2"/>
      <c r="AB94" s="2"/>
      <c r="AC94" s="1"/>
      <c r="AD94" s="1"/>
      <c r="AE94" s="1"/>
      <c r="AF94" s="1"/>
      <c r="AG94" s="1"/>
      <c r="AH94" s="1"/>
      <c r="AI94" s="1"/>
      <c r="AJ94" s="1"/>
      <c r="AK94" s="1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1"/>
      <c r="T95" s="1"/>
      <c r="U95" s="2"/>
      <c r="V95" s="1"/>
      <c r="W95" s="1"/>
      <c r="X95" s="2"/>
      <c r="Y95" s="2"/>
      <c r="Z95" s="2"/>
      <c r="AA95" s="2"/>
      <c r="AB95" s="2"/>
      <c r="AC95" s="1"/>
      <c r="AD95" s="1"/>
      <c r="AE95" s="1"/>
      <c r="AF95" s="1"/>
      <c r="AG95" s="1"/>
      <c r="AH95" s="1"/>
      <c r="AI95" s="1"/>
      <c r="AJ95" s="1"/>
      <c r="AK95" s="1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1"/>
      <c r="T96" s="1"/>
      <c r="U96" s="2"/>
      <c r="V96" s="1"/>
      <c r="W96" s="1"/>
      <c r="X96" s="2"/>
      <c r="Y96" s="2"/>
      <c r="Z96" s="2"/>
      <c r="AA96" s="2"/>
      <c r="AB96" s="2"/>
      <c r="AC96" s="1"/>
      <c r="AD96" s="1"/>
      <c r="AE96" s="1"/>
      <c r="AF96" s="1"/>
      <c r="AG96" s="1"/>
      <c r="AH96" s="1"/>
      <c r="AI96" s="1"/>
      <c r="AJ96" s="1"/>
      <c r="AK96" s="1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1"/>
      <c r="T97" s="1"/>
      <c r="U97" s="1"/>
      <c r="V97" s="1"/>
      <c r="W97" s="1"/>
      <c r="X97" s="1"/>
      <c r="Y97" s="2"/>
      <c r="Z97" s="2"/>
      <c r="AA97" s="2"/>
      <c r="AB97" s="2"/>
      <c r="AC97" s="1"/>
      <c r="AD97" s="1"/>
      <c r="AE97" s="1"/>
      <c r="AF97" s="1"/>
      <c r="AG97" s="1"/>
      <c r="AH97" s="1"/>
      <c r="AI97" s="1"/>
      <c r="AJ97" s="1"/>
      <c r="AK97" s="1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1"/>
      <c r="T98" s="1"/>
      <c r="U98" s="2"/>
      <c r="V98" s="1"/>
      <c r="W98" s="1"/>
      <c r="X98" s="1"/>
      <c r="Y98" s="2"/>
      <c r="Z98" s="2"/>
      <c r="AA98" s="2"/>
      <c r="AB98" s="2"/>
      <c r="AC98" s="1"/>
      <c r="AD98" s="1"/>
      <c r="AE98" s="1"/>
      <c r="AF98" s="1"/>
      <c r="AG98" s="1"/>
      <c r="AH98" s="1"/>
      <c r="AI98" s="1"/>
      <c r="AJ98" s="1"/>
      <c r="AK98" s="1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1"/>
      <c r="T99" s="2"/>
      <c r="U99" s="2"/>
      <c r="V99" s="1"/>
      <c r="W99" s="1"/>
      <c r="X99" s="1"/>
      <c r="Y99" s="2"/>
      <c r="Z99" s="2"/>
      <c r="AA99" s="2"/>
      <c r="AB99" s="2"/>
      <c r="AC99" s="2"/>
      <c r="AD99" s="2"/>
      <c r="AE99" s="1"/>
      <c r="AF99" s="1"/>
      <c r="AG99" s="1"/>
      <c r="AH99" s="1"/>
      <c r="AI99" s="1"/>
      <c r="AJ99" s="1"/>
      <c r="AK99" s="1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1"/>
      <c r="T100" s="1"/>
      <c r="U100" s="1"/>
      <c r="V100" s="2"/>
      <c r="W100" s="2"/>
      <c r="X100" s="1"/>
      <c r="Y100" s="1"/>
      <c r="Z100" s="1"/>
      <c r="AA100" s="1"/>
      <c r="AB100" s="1"/>
      <c r="AC100" s="2"/>
      <c r="AD100" s="1"/>
      <c r="AE100" s="1"/>
      <c r="AF100" s="1"/>
      <c r="AG100" s="1"/>
      <c r="AH100" s="1"/>
      <c r="AI100" s="1"/>
      <c r="AJ100" s="1"/>
      <c r="AK100" s="1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1"/>
      <c r="T101" s="1"/>
      <c r="U101" s="1"/>
      <c r="V101" s="1"/>
      <c r="W101" s="1"/>
      <c r="X101" s="1"/>
      <c r="Y101" s="1"/>
      <c r="Z101" s="1"/>
      <c r="AA101" s="2"/>
      <c r="AB101" s="2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1"/>
      <c r="T102" s="1"/>
      <c r="U102" s="1"/>
      <c r="V102" s="1"/>
      <c r="W102" s="1"/>
      <c r="X102" s="1"/>
      <c r="Y102" s="1"/>
      <c r="Z102" s="1"/>
      <c r="AA102" s="2"/>
      <c r="AB102" s="2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1"/>
      <c r="T103" s="1"/>
      <c r="U103" s="1"/>
      <c r="V103" s="1"/>
      <c r="W103" s="1"/>
      <c r="X103" s="1"/>
      <c r="Y103" s="1"/>
      <c r="Z103" s="1"/>
      <c r="AA103" s="2"/>
      <c r="AB103" s="2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1"/>
      <c r="T104" s="2"/>
      <c r="U104" s="1"/>
      <c r="V104" s="1"/>
      <c r="W104" s="1"/>
      <c r="X104" s="1"/>
      <c r="Y104" s="2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1"/>
      <c r="T105" s="2"/>
      <c r="U105" s="2"/>
      <c r="V105" s="1"/>
      <c r="W105" s="1"/>
      <c r="X105" s="1"/>
      <c r="Y105" s="2"/>
      <c r="Z105" s="2"/>
      <c r="AA105" s="1"/>
      <c r="AB105" s="1"/>
      <c r="AC105" s="2"/>
      <c r="AD105" s="2"/>
      <c r="AE105" s="1"/>
      <c r="AF105" s="1"/>
      <c r="AG105" s="1"/>
      <c r="AH105" s="1"/>
      <c r="AI105" s="1"/>
      <c r="AJ105" s="1"/>
      <c r="AK105" s="1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1"/>
      <c r="T106" s="2"/>
      <c r="U106" s="2"/>
      <c r="V106" s="1"/>
      <c r="W106" s="1"/>
      <c r="X106" s="2"/>
      <c r="Y106" s="2"/>
      <c r="Z106" s="2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1"/>
      <c r="T107" s="2"/>
      <c r="U107" s="2"/>
      <c r="V107" s="1"/>
      <c r="W107" s="1"/>
      <c r="X107" s="1"/>
      <c r="Y107" s="2"/>
      <c r="Z107" s="2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1"/>
      <c r="T108" s="2"/>
      <c r="U108" s="2"/>
      <c r="V108" s="1"/>
      <c r="W108" s="1"/>
      <c r="X108" s="1"/>
      <c r="Y108" s="2"/>
      <c r="Z108" s="2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1"/>
      <c r="T109" s="2"/>
      <c r="U109" s="2"/>
      <c r="V109" s="1"/>
      <c r="W109" s="1"/>
      <c r="X109" s="1"/>
      <c r="Y109" s="2"/>
      <c r="Z109" s="2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1"/>
      <c r="T110" s="2"/>
      <c r="U110" s="2"/>
      <c r="V110" s="1"/>
      <c r="W110" s="1"/>
      <c r="X110" s="1"/>
      <c r="Y110" s="2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1"/>
      <c r="T111" s="2"/>
      <c r="U111" s="2"/>
      <c r="V111" s="1"/>
      <c r="W111" s="1"/>
      <c r="X111" s="1"/>
      <c r="Y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1"/>
      <c r="T112" s="2"/>
      <c r="U112" s="2"/>
      <c r="V112" s="1"/>
      <c r="W112" s="1"/>
      <c r="X112" s="1"/>
      <c r="Y112" s="2"/>
      <c r="Z112" s="2"/>
      <c r="AA112" s="1"/>
      <c r="AB112" s="1"/>
      <c r="AC112" s="2"/>
      <c r="AD112" s="2"/>
      <c r="AE112" s="1"/>
      <c r="AF112" s="1"/>
      <c r="AG112" s="1"/>
      <c r="AH112" s="1"/>
      <c r="AI112" s="1"/>
      <c r="AJ112" s="1"/>
      <c r="AK112" s="1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1"/>
      <c r="T113" s="2"/>
      <c r="U113" s="2"/>
      <c r="V113" s="1"/>
      <c r="W113" s="1"/>
      <c r="X113" s="1"/>
      <c r="Y113" s="2"/>
      <c r="Z113" s="2"/>
      <c r="AA113" s="1"/>
      <c r="AB113" s="1"/>
      <c r="AC113" s="1"/>
      <c r="AD113" s="2"/>
      <c r="AE113" s="1"/>
      <c r="AF113" s="1"/>
      <c r="AG113" s="1"/>
      <c r="AH113" s="1"/>
      <c r="AI113" s="1"/>
      <c r="AJ113" s="1"/>
      <c r="AK113" s="1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1"/>
      <c r="T114" s="2"/>
      <c r="U114" s="2"/>
      <c r="V114" s="1"/>
      <c r="W114" s="1"/>
      <c r="X114" s="2"/>
      <c r="Y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1"/>
      <c r="T115" s="2"/>
      <c r="U115" s="2"/>
      <c r="V115" s="1"/>
      <c r="W115" s="1"/>
      <c r="X115" s="1"/>
      <c r="Y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1"/>
      <c r="T116" s="2"/>
      <c r="U116" s="2"/>
      <c r="V116" s="1"/>
      <c r="W116" s="1"/>
      <c r="X116" s="1"/>
      <c r="Y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1"/>
      <c r="T117" s="2"/>
      <c r="U117" s="2"/>
      <c r="V117" s="1"/>
      <c r="W117" s="1"/>
      <c r="X117" s="1"/>
      <c r="Y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1"/>
      <c r="T118" s="2"/>
      <c r="U118" s="2"/>
      <c r="V118" s="1"/>
      <c r="W118" s="1"/>
      <c r="X118" s="1"/>
      <c r="Y118" s="2"/>
      <c r="Z118" s="2"/>
      <c r="AA118" s="1"/>
      <c r="AB118" s="1"/>
      <c r="AC118" s="2"/>
      <c r="AD118" s="2"/>
      <c r="AE118" s="1"/>
      <c r="AF118" s="1"/>
      <c r="AG118" s="1"/>
      <c r="AH118" s="1"/>
      <c r="AI118" s="1"/>
      <c r="AJ118" s="1"/>
      <c r="AK118" s="1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1"/>
      <c r="T119" s="1"/>
      <c r="U119" s="1"/>
      <c r="V119" s="2"/>
      <c r="W119" s="2"/>
      <c r="X119" s="2"/>
      <c r="Y119" s="2"/>
      <c r="Z119" s="2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1"/>
      <c r="T120" s="1"/>
      <c r="U120" s="1"/>
      <c r="V120" s="1"/>
      <c r="W120" s="1"/>
      <c r="X120" s="1"/>
      <c r="Y120" s="2"/>
      <c r="Z120" s="2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1"/>
      <c r="T121" s="1"/>
      <c r="U121" s="1"/>
      <c r="V121" s="1"/>
      <c r="W121" s="1"/>
      <c r="X121" s="1"/>
      <c r="Y121" s="2"/>
      <c r="Z121" s="2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1"/>
      <c r="T122" s="1"/>
      <c r="U122" s="1"/>
      <c r="V122" s="1"/>
      <c r="W122" s="1"/>
      <c r="X122" s="1"/>
      <c r="Y122" s="2"/>
      <c r="Z122" s="2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1"/>
      <c r="T123" s="1"/>
      <c r="U123" s="1"/>
      <c r="V123" s="1"/>
      <c r="W123" s="1"/>
      <c r="X123" s="1"/>
      <c r="Y123" s="2"/>
      <c r="Z123" s="2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1"/>
      <c r="T124" s="1"/>
      <c r="U124" s="1"/>
      <c r="V124" s="1"/>
      <c r="W124" s="1"/>
      <c r="X124" s="1"/>
      <c r="Y124" s="2"/>
      <c r="Z124" s="2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1"/>
      <c r="T125" s="2"/>
      <c r="U125" s="2"/>
      <c r="V125" s="1"/>
      <c r="W125" s="1"/>
      <c r="X125" s="1"/>
      <c r="Y125" s="2"/>
      <c r="Z125" s="2"/>
      <c r="AA125" s="1"/>
      <c r="AB125" s="1"/>
      <c r="AC125" s="2"/>
      <c r="AD125" s="2"/>
      <c r="AE125" s="1"/>
      <c r="AF125" s="1"/>
      <c r="AG125" s="1"/>
      <c r="AH125" s="1"/>
      <c r="AI125" s="1"/>
      <c r="AJ125" s="1"/>
      <c r="AK125" s="1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1"/>
      <c r="T126" s="1"/>
      <c r="U126" s="2"/>
      <c r="V126" s="1"/>
      <c r="W126" s="1"/>
      <c r="X126" s="1"/>
      <c r="Y126" s="2"/>
      <c r="Z126" s="2"/>
      <c r="AA126" s="1"/>
      <c r="AB126" s="1"/>
      <c r="AC126" s="1"/>
      <c r="AD126" s="2"/>
      <c r="AE126" s="1"/>
      <c r="AF126" s="1"/>
      <c r="AG126" s="1"/>
      <c r="AH126" s="1"/>
      <c r="AI126" s="1"/>
      <c r="AJ126" s="1"/>
      <c r="AK126" s="1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1"/>
      <c r="T127" s="1"/>
      <c r="U127" s="2"/>
      <c r="V127" s="1"/>
      <c r="W127" s="1"/>
      <c r="X127" s="2"/>
      <c r="Y127" s="2"/>
      <c r="Z127" s="2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1"/>
      <c r="T128" s="1"/>
      <c r="U128" s="1"/>
      <c r="V128" s="1"/>
      <c r="W128" s="1"/>
      <c r="X128" s="2"/>
      <c r="Y128" s="2"/>
      <c r="Z128" s="2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1"/>
      <c r="T129" s="1"/>
      <c r="U129" s="1"/>
      <c r="V129" s="1"/>
      <c r="W129" s="1"/>
      <c r="X129" s="1"/>
      <c r="Y129" s="2"/>
      <c r="Z129" s="2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1"/>
      <c r="T130" s="1"/>
      <c r="U130" s="1"/>
      <c r="V130" s="1"/>
      <c r="W130" s="1"/>
      <c r="X130" s="1"/>
      <c r="Y130" s="2"/>
      <c r="Z130" s="2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1"/>
      <c r="T131" s="1"/>
      <c r="U131" s="1"/>
      <c r="V131" s="1"/>
      <c r="W131" s="1"/>
      <c r="X131" s="1"/>
      <c r="Y131" s="2"/>
      <c r="Z131" s="2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1"/>
      <c r="T132" s="1"/>
      <c r="U132" s="2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1"/>
      <c r="T133" s="2"/>
      <c r="U133" s="2"/>
      <c r="V133" s="2"/>
      <c r="W133" s="2"/>
      <c r="X133" s="2"/>
      <c r="Y133" s="1"/>
      <c r="Z133" s="1"/>
      <c r="AA133" s="2"/>
      <c r="AB133" s="2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1"/>
      <c r="T134" s="1"/>
      <c r="U134" s="2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2.75" customHeight="1">
      <c r="A157" s="1"/>
      <c r="B157" s="1"/>
      <c r="C157" s="1"/>
      <c r="D157" s="1"/>
      <c r="E157" s="38"/>
      <c r="F157" s="38"/>
      <c r="G157" s="38"/>
      <c r="H157" s="38"/>
      <c r="I157" s="3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2.75" customHeight="1">
      <c r="A158" s="1"/>
      <c r="B158" s="1"/>
      <c r="C158" s="1"/>
      <c r="D158" s="39" t="s">
        <v>23</v>
      </c>
      <c r="E158" s="40" t="s">
        <v>12</v>
      </c>
      <c r="F158" s="40" t="s">
        <v>13</v>
      </c>
      <c r="G158" s="40" t="s">
        <v>14</v>
      </c>
      <c r="H158" s="40" t="s">
        <v>15</v>
      </c>
      <c r="I158" s="40" t="s">
        <v>16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2.75" customHeight="1">
      <c r="A159" s="1"/>
      <c r="B159" s="1"/>
      <c r="C159" s="1"/>
      <c r="D159" s="41"/>
      <c r="E159" s="41"/>
      <c r="F159" s="42"/>
      <c r="G159" s="41"/>
      <c r="H159" s="41"/>
      <c r="I159" s="4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2.75" customHeight="1">
      <c r="A160" s="1"/>
      <c r="B160" s="1"/>
      <c r="C160" s="1"/>
      <c r="D160" s="43">
        <v>10.0</v>
      </c>
      <c r="E160" s="41"/>
      <c r="F160" s="44">
        <v>2.2</v>
      </c>
      <c r="G160" s="43">
        <v>2.49</v>
      </c>
      <c r="H160" s="43">
        <v>2.41</v>
      </c>
      <c r="I160" s="4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2.75" customHeight="1">
      <c r="A161" s="1"/>
      <c r="B161" s="1"/>
      <c r="C161" s="1"/>
      <c r="D161" s="43">
        <v>15.0</v>
      </c>
      <c r="E161" s="41"/>
      <c r="F161" s="44">
        <v>2.3</v>
      </c>
      <c r="G161" s="43">
        <v>2.54</v>
      </c>
      <c r="H161" s="43">
        <v>2.47</v>
      </c>
      <c r="I161" s="4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2.75" customHeight="1">
      <c r="A162" s="1"/>
      <c r="B162" s="1"/>
      <c r="C162" s="1"/>
      <c r="D162" s="41">
        <v>20.0</v>
      </c>
      <c r="E162" s="41"/>
      <c r="F162" s="42">
        <v>2.4</v>
      </c>
      <c r="G162" s="41">
        <v>2.59</v>
      </c>
      <c r="H162" s="41">
        <v>2.53</v>
      </c>
      <c r="I162" s="4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2.75" customHeight="1">
      <c r="A163" s="1"/>
      <c r="B163" s="1"/>
      <c r="C163" s="1"/>
      <c r="D163" s="1">
        <v>25.0</v>
      </c>
      <c r="E163" s="1"/>
      <c r="F163" s="44">
        <v>2.45</v>
      </c>
      <c r="G163" s="1">
        <v>2.64</v>
      </c>
      <c r="H163" s="1">
        <v>2.59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2.75" customHeight="1">
      <c r="A164" s="1"/>
      <c r="B164" s="1"/>
      <c r="C164" s="1"/>
      <c r="D164" s="1">
        <v>30.0</v>
      </c>
      <c r="E164" s="1"/>
      <c r="F164" s="44">
        <v>2.5</v>
      </c>
      <c r="G164" s="1">
        <v>2.69</v>
      </c>
      <c r="H164" s="1">
        <v>2.67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2.75" customHeight="1">
      <c r="A165" s="1"/>
      <c r="B165" s="1"/>
      <c r="C165" s="1"/>
      <c r="D165" s="1">
        <v>35.0</v>
      </c>
      <c r="E165" s="1"/>
      <c r="F165" s="44">
        <v>2.55</v>
      </c>
      <c r="G165" s="1">
        <v>2.74</v>
      </c>
      <c r="H165" s="1">
        <v>2.76</v>
      </c>
      <c r="I165" s="1"/>
      <c r="J165" s="1"/>
      <c r="K165" s="38"/>
      <c r="L165" s="38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2.75" customHeight="1">
      <c r="A166" s="1"/>
      <c r="B166" s="1"/>
      <c r="C166" s="1"/>
      <c r="D166" s="1">
        <v>40.0</v>
      </c>
      <c r="E166" s="1"/>
      <c r="F166" s="45">
        <v>2.6</v>
      </c>
      <c r="G166" s="1">
        <v>2.78</v>
      </c>
      <c r="H166" s="1">
        <v>2.82</v>
      </c>
      <c r="I166" s="1"/>
      <c r="J166" s="39"/>
      <c r="K166" s="40"/>
      <c r="L166" s="40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2.75" customHeight="1">
      <c r="A167" s="1"/>
      <c r="B167" s="1"/>
      <c r="C167" s="1"/>
      <c r="D167" s="43">
        <v>45.0</v>
      </c>
      <c r="E167" s="41"/>
      <c r="F167" s="44">
        <v>2.62</v>
      </c>
      <c r="G167" s="43">
        <v>2.82</v>
      </c>
      <c r="H167" s="43">
        <v>2.9</v>
      </c>
      <c r="I167" s="41"/>
      <c r="J167" s="39"/>
      <c r="K167" s="40"/>
      <c r="L167" s="40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2.75" customHeight="1">
      <c r="A168" s="1"/>
      <c r="B168" s="1"/>
      <c r="C168" s="1"/>
      <c r="D168" s="43">
        <v>50.0</v>
      </c>
      <c r="E168" s="41"/>
      <c r="F168" s="44">
        <v>2.65</v>
      </c>
      <c r="G168" s="43">
        <v>2.85</v>
      </c>
      <c r="H168" s="43">
        <v>2.98</v>
      </c>
      <c r="I168" s="41"/>
      <c r="J168" s="39"/>
      <c r="K168" s="40"/>
      <c r="L168" s="40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2.75" customHeight="1">
      <c r="A169" s="1"/>
      <c r="B169" s="1"/>
      <c r="C169" s="1"/>
      <c r="D169" s="43">
        <v>55.0</v>
      </c>
      <c r="E169" s="41"/>
      <c r="F169" s="44">
        <v>2.67</v>
      </c>
      <c r="G169" s="43">
        <v>2.88</v>
      </c>
      <c r="H169" s="43">
        <v>3.07</v>
      </c>
      <c r="I169" s="41"/>
      <c r="J169" s="39"/>
      <c r="K169" s="40"/>
      <c r="L169" s="40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2.75" customHeight="1">
      <c r="A170" s="1"/>
      <c r="B170" s="1"/>
      <c r="C170" s="1"/>
      <c r="D170" s="41">
        <v>60.0</v>
      </c>
      <c r="E170" s="41"/>
      <c r="F170" s="42">
        <v>2.7</v>
      </c>
      <c r="G170" s="41">
        <v>2.91</v>
      </c>
      <c r="H170" s="41">
        <v>3.15</v>
      </c>
      <c r="I170" s="41"/>
      <c r="J170" s="39"/>
      <c r="K170" s="40" t="s">
        <v>23</v>
      </c>
      <c r="L170" s="40" t="s">
        <v>24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2.75" customHeight="1">
      <c r="A171" s="1"/>
      <c r="B171" s="1"/>
      <c r="C171" s="1"/>
      <c r="D171" s="1">
        <v>65.0</v>
      </c>
      <c r="E171" s="1"/>
      <c r="F171" s="1">
        <v>2.72</v>
      </c>
      <c r="G171" s="1">
        <v>2.92</v>
      </c>
      <c r="H171" s="1">
        <v>3.17</v>
      </c>
      <c r="I171" s="1"/>
      <c r="J171" s="1"/>
      <c r="K171" s="4"/>
      <c r="L171" s="4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2.75" customHeight="1">
      <c r="A172" s="1"/>
      <c r="B172" s="1"/>
      <c r="C172" s="1"/>
      <c r="D172" s="1">
        <v>70.0</v>
      </c>
      <c r="E172" s="1"/>
      <c r="F172" s="1">
        <v>2.73</v>
      </c>
      <c r="G172" s="1">
        <v>2.93</v>
      </c>
      <c r="H172" s="1">
        <v>3.19</v>
      </c>
      <c r="I172" s="1"/>
      <c r="J172" s="1"/>
      <c r="K172" s="4"/>
      <c r="L172" s="4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2.75" customHeight="1">
      <c r="A173" s="1"/>
      <c r="B173" s="1"/>
      <c r="C173" s="1"/>
      <c r="D173" s="1">
        <v>75.0</v>
      </c>
      <c r="E173" s="1"/>
      <c r="F173" s="1">
        <v>2.74</v>
      </c>
      <c r="G173" s="1">
        <v>2.95</v>
      </c>
      <c r="H173" s="1">
        <v>3.22</v>
      </c>
      <c r="I173" s="1"/>
      <c r="J173" s="38"/>
      <c r="K173" s="4"/>
      <c r="L173" s="4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2.75" customHeight="1">
      <c r="A174" s="1"/>
      <c r="B174" s="1"/>
      <c r="C174" s="1"/>
      <c r="D174" s="1">
        <v>80.0</v>
      </c>
      <c r="E174" s="1"/>
      <c r="F174" s="1">
        <v>2.75</v>
      </c>
      <c r="G174" s="1">
        <v>2.96</v>
      </c>
      <c r="H174" s="1">
        <v>3.24</v>
      </c>
      <c r="I174" s="39"/>
      <c r="J174" s="40"/>
      <c r="K174" s="46">
        <v>1.0</v>
      </c>
      <c r="L174" s="46">
        <v>1.0</v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2.75" customHeight="1">
      <c r="A175" s="1"/>
      <c r="B175" s="1"/>
      <c r="C175" s="1"/>
      <c r="D175" s="43">
        <v>85.0</v>
      </c>
      <c r="E175" s="41"/>
      <c r="F175" s="44">
        <v>2.77</v>
      </c>
      <c r="G175" s="43">
        <v>2.97</v>
      </c>
      <c r="H175" s="43">
        <v>3.24</v>
      </c>
      <c r="I175" s="42"/>
      <c r="J175" s="1"/>
      <c r="K175" s="41"/>
      <c r="L175" s="4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2.75" customHeight="1">
      <c r="A176" s="1"/>
      <c r="B176" s="1"/>
      <c r="C176" s="1"/>
      <c r="D176" s="43">
        <v>90.0</v>
      </c>
      <c r="E176" s="41"/>
      <c r="F176" s="44">
        <v>2.78</v>
      </c>
      <c r="G176" s="43">
        <v>2.99</v>
      </c>
      <c r="H176" s="43">
        <v>3.23</v>
      </c>
      <c r="I176" s="42"/>
      <c r="J176" s="1"/>
      <c r="K176" s="41"/>
      <c r="L176" s="4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2.75" customHeight="1">
      <c r="A177" s="1"/>
      <c r="B177" s="1"/>
      <c r="C177" s="1"/>
      <c r="D177" s="43">
        <v>95.0</v>
      </c>
      <c r="E177" s="41"/>
      <c r="F177" s="44">
        <v>2.79</v>
      </c>
      <c r="G177" s="43">
        <v>3.01</v>
      </c>
      <c r="H177" s="43">
        <v>3.23</v>
      </c>
      <c r="I177" s="42"/>
      <c r="J177" s="1"/>
      <c r="K177" s="41"/>
      <c r="L177" s="4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2.75" customHeight="1">
      <c r="A178" s="1"/>
      <c r="B178" s="1"/>
      <c r="C178" s="1"/>
      <c r="D178" s="41">
        <v>100.0</v>
      </c>
      <c r="E178" s="41">
        <v>2.92</v>
      </c>
      <c r="F178" s="42">
        <v>2.8</v>
      </c>
      <c r="G178" s="41">
        <v>3.02</v>
      </c>
      <c r="H178" s="41">
        <v>3.23</v>
      </c>
      <c r="I178" s="42">
        <v>3.8</v>
      </c>
      <c r="J178" s="1"/>
      <c r="K178" s="41">
        <v>3.0</v>
      </c>
      <c r="L178" s="41">
        <v>1.04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2.75" customHeight="1">
      <c r="A179" s="1"/>
      <c r="B179" s="1"/>
      <c r="C179" s="1"/>
      <c r="D179" s="1">
        <v>105.0</v>
      </c>
      <c r="E179" s="1">
        <v>2.93</v>
      </c>
      <c r="F179" s="1">
        <v>2.81</v>
      </c>
      <c r="G179" s="1">
        <v>3.03</v>
      </c>
      <c r="H179" s="1">
        <v>3.23</v>
      </c>
      <c r="I179" s="42">
        <v>3.8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2.75" customHeight="1">
      <c r="A180" s="1"/>
      <c r="B180" s="1"/>
      <c r="C180" s="1"/>
      <c r="D180" s="1">
        <v>110.0</v>
      </c>
      <c r="E180" s="1">
        <v>2.95</v>
      </c>
      <c r="F180" s="1">
        <v>2.83</v>
      </c>
      <c r="G180" s="1">
        <v>3.04</v>
      </c>
      <c r="H180" s="1">
        <v>3.22</v>
      </c>
      <c r="I180" s="42">
        <v>3.8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2.75" customHeight="1">
      <c r="A181" s="1"/>
      <c r="B181" s="1"/>
      <c r="C181" s="1"/>
      <c r="D181" s="1">
        <v>115.0</v>
      </c>
      <c r="E181" s="1">
        <v>2.97</v>
      </c>
      <c r="F181" s="1">
        <v>2.84</v>
      </c>
      <c r="G181" s="1">
        <v>3.06</v>
      </c>
      <c r="H181" s="1">
        <v>3.21</v>
      </c>
      <c r="I181" s="42">
        <v>3.8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2.75" customHeight="1">
      <c r="A182" s="1"/>
      <c r="B182" s="1"/>
      <c r="C182" s="1"/>
      <c r="D182" s="1">
        <v>120.0</v>
      </c>
      <c r="E182" s="1">
        <v>2.99</v>
      </c>
      <c r="F182" s="1">
        <v>2.85</v>
      </c>
      <c r="G182" s="1">
        <v>3.08</v>
      </c>
      <c r="H182" s="1">
        <v>3.21</v>
      </c>
      <c r="I182" s="1">
        <v>3.78</v>
      </c>
      <c r="J182" s="1"/>
      <c r="K182" s="1">
        <v>4.0</v>
      </c>
      <c r="L182" s="1">
        <v>1.13</v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2.75" customHeight="1">
      <c r="A183" s="1"/>
      <c r="B183" s="1"/>
      <c r="C183" s="1"/>
      <c r="D183" s="1">
        <v>125.0</v>
      </c>
      <c r="E183" s="43">
        <v>2.99</v>
      </c>
      <c r="F183" s="43">
        <v>2.86</v>
      </c>
      <c r="G183" s="43">
        <v>3.09</v>
      </c>
      <c r="H183" s="43">
        <v>3.21</v>
      </c>
      <c r="I183" s="1">
        <v>3.78</v>
      </c>
      <c r="J183" s="1"/>
      <c r="K183" s="41"/>
      <c r="L183" s="4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2.75" customHeight="1">
      <c r="A184" s="1"/>
      <c r="B184" s="1"/>
      <c r="C184" s="1"/>
      <c r="D184" s="43">
        <v>130.0</v>
      </c>
      <c r="E184" s="43">
        <v>2.97</v>
      </c>
      <c r="F184" s="43">
        <v>2.88</v>
      </c>
      <c r="G184" s="43">
        <v>3.11</v>
      </c>
      <c r="H184" s="43">
        <v>3.21</v>
      </c>
      <c r="I184" s="1">
        <v>3.78</v>
      </c>
      <c r="J184" s="1"/>
      <c r="K184" s="41"/>
      <c r="L184" s="4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2.75" customHeight="1">
      <c r="A185" s="1"/>
      <c r="B185" s="1"/>
      <c r="C185" s="1"/>
      <c r="D185" s="43">
        <v>135.0</v>
      </c>
      <c r="E185" s="43">
        <v>2.97</v>
      </c>
      <c r="F185" s="43">
        <v>2.9</v>
      </c>
      <c r="G185" s="43">
        <v>3.13</v>
      </c>
      <c r="H185" s="43">
        <v>3.22</v>
      </c>
      <c r="I185" s="1">
        <v>3.78</v>
      </c>
      <c r="J185" s="1"/>
      <c r="K185" s="41"/>
      <c r="L185" s="4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2.75" customHeight="1">
      <c r="A186" s="1"/>
      <c r="B186" s="1"/>
      <c r="C186" s="1"/>
      <c r="D186" s="43">
        <v>140.0</v>
      </c>
      <c r="E186" s="41">
        <v>2.97</v>
      </c>
      <c r="F186" s="41">
        <v>2.91</v>
      </c>
      <c r="G186" s="41">
        <v>3.15</v>
      </c>
      <c r="H186" s="41">
        <v>3.22</v>
      </c>
      <c r="I186" s="41">
        <v>3.8</v>
      </c>
      <c r="J186" s="1"/>
      <c r="K186" s="41">
        <v>5.0</v>
      </c>
      <c r="L186" s="41">
        <v>1.23</v>
      </c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2.75" customHeight="1">
      <c r="A187" s="1"/>
      <c r="B187" s="1"/>
      <c r="C187" s="1"/>
      <c r="D187" s="41">
        <v>145.0</v>
      </c>
      <c r="E187" s="1">
        <v>2.97</v>
      </c>
      <c r="F187" s="1">
        <v>2.93</v>
      </c>
      <c r="G187" s="1">
        <v>3.17</v>
      </c>
      <c r="H187" s="1">
        <v>3.23</v>
      </c>
      <c r="I187" s="41">
        <v>3.8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2.75" customHeight="1">
      <c r="A188" s="1"/>
      <c r="B188" s="1"/>
      <c r="C188" s="1"/>
      <c r="D188" s="1">
        <v>150.0</v>
      </c>
      <c r="E188" s="1">
        <v>2.99</v>
      </c>
      <c r="F188" s="1">
        <v>2.95</v>
      </c>
      <c r="G188" s="1">
        <v>3.19</v>
      </c>
      <c r="H188" s="1">
        <v>3.25</v>
      </c>
      <c r="I188" s="41">
        <v>3.8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2.75" customHeight="1">
      <c r="A189" s="1"/>
      <c r="B189" s="1"/>
      <c r="C189" s="1"/>
      <c r="D189" s="1">
        <v>155.0</v>
      </c>
      <c r="E189" s="1">
        <v>2.99</v>
      </c>
      <c r="F189" s="1">
        <v>2.97</v>
      </c>
      <c r="G189" s="1">
        <v>3.21</v>
      </c>
      <c r="H189" s="1">
        <v>3.26</v>
      </c>
      <c r="I189" s="41">
        <v>3.8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2.75" customHeight="1">
      <c r="A190" s="1"/>
      <c r="B190" s="1"/>
      <c r="C190" s="1"/>
      <c r="D190" s="1">
        <v>160.0</v>
      </c>
      <c r="E190" s="1">
        <v>2.99</v>
      </c>
      <c r="F190" s="1">
        <v>2.98</v>
      </c>
      <c r="G190" s="1">
        <v>3.23</v>
      </c>
      <c r="H190" s="1">
        <v>3.28</v>
      </c>
      <c r="I190" s="1">
        <v>3.81</v>
      </c>
      <c r="J190" s="1"/>
      <c r="K190" s="1">
        <v>6.0</v>
      </c>
      <c r="L190" s="1">
        <v>1.34</v>
      </c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2.75" customHeight="1">
      <c r="A191" s="1"/>
      <c r="B191" s="1"/>
      <c r="C191" s="1"/>
      <c r="D191" s="1">
        <v>165.0</v>
      </c>
      <c r="E191" s="43">
        <v>3.01</v>
      </c>
      <c r="F191" s="43">
        <v>3.0</v>
      </c>
      <c r="G191" s="43">
        <v>3.25</v>
      </c>
      <c r="H191" s="44">
        <v>3.3</v>
      </c>
      <c r="I191" s="1">
        <v>3.81</v>
      </c>
      <c r="J191" s="1"/>
      <c r="K191" s="41"/>
      <c r="L191" s="4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2.75" customHeight="1">
      <c r="A192" s="1"/>
      <c r="B192" s="1"/>
      <c r="C192" s="1"/>
      <c r="D192" s="1">
        <v>170.0</v>
      </c>
      <c r="E192" s="43">
        <v>3.02</v>
      </c>
      <c r="F192" s="43">
        <v>3.03</v>
      </c>
      <c r="G192" s="43">
        <v>3.27</v>
      </c>
      <c r="H192" s="44">
        <v>3.33</v>
      </c>
      <c r="I192" s="1">
        <v>3.81</v>
      </c>
      <c r="J192" s="1"/>
      <c r="K192" s="41"/>
      <c r="L192" s="4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2.75" customHeight="1">
      <c r="A193" s="1"/>
      <c r="B193" s="1"/>
      <c r="C193" s="1"/>
      <c r="D193" s="43">
        <v>175.0</v>
      </c>
      <c r="E193" s="43">
        <v>3.04</v>
      </c>
      <c r="F193" s="43">
        <v>3.06</v>
      </c>
      <c r="G193" s="43">
        <v>3.29</v>
      </c>
      <c r="H193" s="44">
        <v>3.36</v>
      </c>
      <c r="I193" s="43">
        <v>3.81</v>
      </c>
      <c r="J193" s="1"/>
      <c r="K193" s="41"/>
      <c r="L193" s="4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2.75" customHeight="1">
      <c r="A194" s="1"/>
      <c r="B194" s="1"/>
      <c r="C194" s="1"/>
      <c r="D194" s="43">
        <v>180.0</v>
      </c>
      <c r="E194" s="41">
        <v>3.05</v>
      </c>
      <c r="F194" s="41">
        <v>3.08</v>
      </c>
      <c r="G194" s="41">
        <v>3.31</v>
      </c>
      <c r="H194" s="42">
        <v>3.4</v>
      </c>
      <c r="I194" s="41">
        <v>3.82</v>
      </c>
      <c r="J194" s="1"/>
      <c r="K194" s="41">
        <v>7.0</v>
      </c>
      <c r="L194" s="41">
        <v>1.42</v>
      </c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2.75" customHeight="1">
      <c r="A195" s="1"/>
      <c r="B195" s="1"/>
      <c r="C195" s="1"/>
      <c r="D195" s="43">
        <v>185.0</v>
      </c>
      <c r="E195" s="1">
        <v>3.07</v>
      </c>
      <c r="F195" s="1">
        <v>3.11</v>
      </c>
      <c r="G195" s="1">
        <v>3.34</v>
      </c>
      <c r="H195" s="1">
        <v>3.43</v>
      </c>
      <c r="I195" s="1">
        <v>3.83</v>
      </c>
      <c r="J195" s="1"/>
      <c r="K195" s="1"/>
      <c r="L195" s="45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2.75" customHeight="1">
      <c r="A196" s="1"/>
      <c r="B196" s="1"/>
      <c r="C196" s="1"/>
      <c r="D196" s="41">
        <v>190.0</v>
      </c>
      <c r="E196" s="1">
        <v>3.09</v>
      </c>
      <c r="F196" s="1">
        <v>3.13</v>
      </c>
      <c r="G196" s="1">
        <v>3.37</v>
      </c>
      <c r="H196" s="1">
        <v>3.47</v>
      </c>
      <c r="I196" s="1">
        <v>3.84</v>
      </c>
      <c r="J196" s="1"/>
      <c r="K196" s="1"/>
      <c r="L196" s="45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2.75" customHeight="1">
      <c r="A197" s="1"/>
      <c r="B197" s="1"/>
      <c r="C197" s="1"/>
      <c r="D197" s="1">
        <v>195.0</v>
      </c>
      <c r="E197" s="1">
        <v>3.11</v>
      </c>
      <c r="F197" s="1">
        <v>3.16</v>
      </c>
      <c r="G197" s="1">
        <v>3.4</v>
      </c>
      <c r="H197" s="1">
        <v>3.51</v>
      </c>
      <c r="I197" s="1">
        <v>3.86</v>
      </c>
      <c r="J197" s="1"/>
      <c r="K197" s="1"/>
      <c r="L197" s="45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2.75" customHeight="1">
      <c r="A198" s="1"/>
      <c r="B198" s="1"/>
      <c r="C198" s="1"/>
      <c r="D198" s="1">
        <v>200.0</v>
      </c>
      <c r="E198" s="1">
        <v>3.12</v>
      </c>
      <c r="F198" s="1">
        <v>3.19</v>
      </c>
      <c r="G198" s="1">
        <v>3.42</v>
      </c>
      <c r="H198" s="1">
        <v>3.55</v>
      </c>
      <c r="I198" s="1">
        <v>3.87</v>
      </c>
      <c r="J198" s="1"/>
      <c r="K198" s="1">
        <v>8.0</v>
      </c>
      <c r="L198" s="45">
        <v>1.5</v>
      </c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2.75" customHeight="1">
      <c r="A199" s="1"/>
      <c r="B199" s="1"/>
      <c r="C199" s="1"/>
      <c r="D199" s="43">
        <v>210.0</v>
      </c>
      <c r="E199" s="43">
        <v>3.14</v>
      </c>
      <c r="F199" s="43">
        <v>3.26</v>
      </c>
      <c r="G199" s="43">
        <v>3.48</v>
      </c>
      <c r="H199" s="44">
        <v>3.62</v>
      </c>
      <c r="I199" s="43">
        <v>3.89</v>
      </c>
      <c r="J199" s="1"/>
      <c r="K199" s="41"/>
      <c r="L199" s="4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2.75" customHeight="1">
      <c r="A200" s="1"/>
      <c r="B200" s="1"/>
      <c r="C200" s="1"/>
      <c r="D200" s="41">
        <v>220.0</v>
      </c>
      <c r="E200" s="41">
        <v>3.17</v>
      </c>
      <c r="F200" s="41">
        <v>3.32</v>
      </c>
      <c r="G200" s="41">
        <v>3.53</v>
      </c>
      <c r="H200" s="42">
        <v>3.7</v>
      </c>
      <c r="I200" s="41">
        <v>3.92</v>
      </c>
      <c r="J200" s="1"/>
      <c r="K200" s="41">
        <v>9.0</v>
      </c>
      <c r="L200" s="41">
        <v>1.56</v>
      </c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2.75" customHeight="1">
      <c r="A201" s="1"/>
      <c r="B201" s="1"/>
      <c r="C201" s="1"/>
      <c r="D201" s="1">
        <v>230.0</v>
      </c>
      <c r="E201" s="1">
        <v>3.21</v>
      </c>
      <c r="F201" s="1">
        <v>3.39</v>
      </c>
      <c r="G201" s="1">
        <v>3.8</v>
      </c>
      <c r="H201" s="1">
        <v>3.77</v>
      </c>
      <c r="I201" s="1">
        <v>3.95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2.75" customHeight="1">
      <c r="A202" s="1"/>
      <c r="B202" s="1"/>
      <c r="C202" s="1"/>
      <c r="D202" s="1">
        <v>240.0</v>
      </c>
      <c r="E202" s="1">
        <v>3.25</v>
      </c>
      <c r="F202" s="1">
        <v>3.45</v>
      </c>
      <c r="G202" s="1">
        <v>3.64</v>
      </c>
      <c r="H202" s="1">
        <v>3.84</v>
      </c>
      <c r="I202" s="1">
        <v>3.97</v>
      </c>
      <c r="J202" s="1"/>
      <c r="K202" s="1">
        <v>10.0</v>
      </c>
      <c r="L202" s="1">
        <v>1.61</v>
      </c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2.75" customHeight="1">
      <c r="A203" s="1"/>
      <c r="B203" s="1"/>
      <c r="C203" s="1"/>
      <c r="D203" s="43">
        <v>250.0</v>
      </c>
      <c r="E203" s="43">
        <v>3.35</v>
      </c>
      <c r="F203" s="43">
        <v>3.52</v>
      </c>
      <c r="G203" s="43">
        <v>3.69</v>
      </c>
      <c r="H203" s="43">
        <v>3.88</v>
      </c>
      <c r="I203" s="43">
        <v>4.0</v>
      </c>
      <c r="J203" s="1"/>
      <c r="K203" s="41"/>
      <c r="L203" s="4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2.75" customHeight="1">
      <c r="A204" s="1"/>
      <c r="B204" s="1"/>
      <c r="C204" s="1"/>
      <c r="D204" s="41">
        <v>260.0</v>
      </c>
      <c r="E204" s="41">
        <v>3.45</v>
      </c>
      <c r="F204" s="41">
        <v>3.58</v>
      </c>
      <c r="G204" s="41">
        <v>3.74</v>
      </c>
      <c r="H204" s="41">
        <v>3.93</v>
      </c>
      <c r="I204" s="41">
        <v>4.03</v>
      </c>
      <c r="J204" s="1"/>
      <c r="K204" s="41">
        <v>15.0</v>
      </c>
      <c r="L204" s="41">
        <v>1.78</v>
      </c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2.75" customHeight="1">
      <c r="A205" s="1"/>
      <c r="B205" s="1"/>
      <c r="C205" s="1"/>
      <c r="D205" s="1">
        <v>270.0</v>
      </c>
      <c r="E205" s="1">
        <v>3.55</v>
      </c>
      <c r="F205" s="1">
        <v>3.63</v>
      </c>
      <c r="G205" s="1">
        <v>3.78</v>
      </c>
      <c r="H205" s="45">
        <v>3.96</v>
      </c>
      <c r="I205" s="45">
        <v>4.07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2.75" customHeight="1">
      <c r="A206" s="1"/>
      <c r="B206" s="1"/>
      <c r="C206" s="1"/>
      <c r="D206" s="1">
        <v>280.0</v>
      </c>
      <c r="E206" s="1">
        <v>3.65</v>
      </c>
      <c r="F206" s="1">
        <v>3.69</v>
      </c>
      <c r="G206" s="1">
        <v>3.83</v>
      </c>
      <c r="H206" s="45">
        <v>4.0</v>
      </c>
      <c r="I206" s="45">
        <v>4.1</v>
      </c>
      <c r="J206" s="1"/>
      <c r="K206" s="1">
        <v>20.0</v>
      </c>
      <c r="L206" s="1">
        <v>1.87</v>
      </c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2.75" customHeight="1">
      <c r="A207" s="1"/>
      <c r="B207" s="1"/>
      <c r="C207" s="1"/>
      <c r="D207" s="43">
        <v>290.0</v>
      </c>
      <c r="E207" s="43">
        <v>3.68</v>
      </c>
      <c r="F207" s="43">
        <v>3.74</v>
      </c>
      <c r="G207" s="44">
        <v>3.87</v>
      </c>
      <c r="H207" s="43">
        <v>4.02</v>
      </c>
      <c r="I207" s="44">
        <v>4.15</v>
      </c>
      <c r="J207" s="1"/>
      <c r="K207" s="41"/>
      <c r="L207" s="4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2.75" customHeight="1">
      <c r="A208" s="1"/>
      <c r="B208" s="1"/>
      <c r="C208" s="1"/>
      <c r="D208" s="41">
        <v>300.0</v>
      </c>
      <c r="E208" s="41">
        <v>3.71</v>
      </c>
      <c r="F208" s="41">
        <v>3.78</v>
      </c>
      <c r="G208" s="42">
        <v>3.9</v>
      </c>
      <c r="H208" s="41">
        <v>4.04</v>
      </c>
      <c r="I208" s="42">
        <v>4.2</v>
      </c>
      <c r="J208" s="1"/>
      <c r="K208" s="41">
        <v>30.0</v>
      </c>
      <c r="L208" s="41">
        <v>1.98</v>
      </c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2.75" customHeight="1">
      <c r="A209" s="1"/>
      <c r="B209" s="1"/>
      <c r="C209" s="1"/>
      <c r="D209" s="1">
        <v>320.0</v>
      </c>
      <c r="E209" s="1">
        <v>3.79</v>
      </c>
      <c r="F209" s="1">
        <v>3.84</v>
      </c>
      <c r="G209" s="1">
        <v>3.95</v>
      </c>
      <c r="H209" s="1">
        <v>4.12</v>
      </c>
      <c r="I209" s="1">
        <v>4.31</v>
      </c>
      <c r="J209" s="1"/>
      <c r="K209" s="1">
        <v>40.0</v>
      </c>
      <c r="L209" s="1">
        <v>2.06</v>
      </c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2.75" customHeight="1">
      <c r="A210" s="1"/>
      <c r="B210" s="1"/>
      <c r="C210" s="1"/>
      <c r="D210" s="41">
        <v>340.0</v>
      </c>
      <c r="E210" s="41">
        <v>3.86</v>
      </c>
      <c r="F210" s="41">
        <v>3.88</v>
      </c>
      <c r="G210" s="41">
        <v>4.02</v>
      </c>
      <c r="H210" s="41">
        <v>4.26</v>
      </c>
      <c r="I210" s="41">
        <v>4.44</v>
      </c>
      <c r="J210" s="1"/>
      <c r="K210" s="41">
        <v>50.0</v>
      </c>
      <c r="L210" s="41">
        <v>2.14</v>
      </c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2.75" customHeight="1">
      <c r="A211" s="1"/>
      <c r="B211" s="1"/>
      <c r="C211" s="1"/>
      <c r="D211" s="1">
        <v>360.0</v>
      </c>
      <c r="E211" s="1">
        <v>3.92</v>
      </c>
      <c r="F211" s="1">
        <v>3.95</v>
      </c>
      <c r="G211" s="1">
        <v>4.11</v>
      </c>
      <c r="H211" s="1">
        <v>4.41</v>
      </c>
      <c r="I211" s="1">
        <v>4.56</v>
      </c>
      <c r="J211" s="1"/>
      <c r="K211" s="1">
        <v>60.0</v>
      </c>
      <c r="L211" s="1">
        <v>2.21</v>
      </c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2.75" customHeight="1">
      <c r="A212" s="1"/>
      <c r="B212" s="1"/>
      <c r="C212" s="1"/>
      <c r="D212" s="41">
        <v>380.0</v>
      </c>
      <c r="E212" s="41">
        <v>3.96</v>
      </c>
      <c r="F212" s="41">
        <v>4.03</v>
      </c>
      <c r="G212" s="41">
        <v>4.21</v>
      </c>
      <c r="H212" s="41">
        <v>4.55</v>
      </c>
      <c r="I212" s="41">
        <v>4.66</v>
      </c>
      <c r="J212" s="1"/>
      <c r="K212" s="41">
        <v>90.0</v>
      </c>
      <c r="L212" s="42">
        <v>2.4</v>
      </c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2.75" customHeight="1">
      <c r="A213" s="1"/>
      <c r="B213" s="1"/>
      <c r="C213" s="1"/>
      <c r="D213" s="1">
        <v>400.0</v>
      </c>
      <c r="E213" s="1">
        <v>3.99</v>
      </c>
      <c r="F213" s="1">
        <v>4.11</v>
      </c>
      <c r="G213" s="45">
        <v>4.3</v>
      </c>
      <c r="H213" s="1">
        <v>4.69</v>
      </c>
      <c r="I213" s="1">
        <v>4.75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2.75" customHeight="1">
      <c r="A214" s="1"/>
      <c r="B214" s="1"/>
      <c r="C214" s="1"/>
      <c r="D214" s="41">
        <v>420.0</v>
      </c>
      <c r="E214" s="41">
        <v>4.02</v>
      </c>
      <c r="F214" s="41">
        <v>4.15</v>
      </c>
      <c r="G214" s="41">
        <v>4.34</v>
      </c>
      <c r="H214" s="41">
        <v>4.73</v>
      </c>
      <c r="I214" s="41">
        <v>4.79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2.75" customHeight="1">
      <c r="A215" s="1"/>
      <c r="B215" s="1"/>
      <c r="C215" s="1"/>
      <c r="D215" s="1">
        <v>440.0</v>
      </c>
      <c r="E215" s="1">
        <v>4.08</v>
      </c>
      <c r="F215" s="45">
        <v>4.2</v>
      </c>
      <c r="G215" s="1">
        <v>4.39</v>
      </c>
      <c r="H215" s="1">
        <v>4.78</v>
      </c>
      <c r="I215" s="1">
        <v>4.84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2.75" customHeight="1">
      <c r="A216" s="1"/>
      <c r="B216" s="1"/>
      <c r="C216" s="1"/>
      <c r="D216" s="41">
        <v>460.0</v>
      </c>
      <c r="E216" s="41">
        <v>4.17</v>
      </c>
      <c r="F216" s="41">
        <v>4.29</v>
      </c>
      <c r="G216" s="41">
        <v>4.48</v>
      </c>
      <c r="H216" s="41">
        <v>4.87</v>
      </c>
      <c r="I216" s="41">
        <v>4.93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2.75" customHeight="1">
      <c r="A217" s="1"/>
      <c r="B217" s="1"/>
      <c r="C217" s="1"/>
      <c r="D217" s="1">
        <v>480.0</v>
      </c>
      <c r="E217" s="1">
        <v>4.28</v>
      </c>
      <c r="F217" s="45">
        <v>4.4</v>
      </c>
      <c r="G217" s="1">
        <v>4.59</v>
      </c>
      <c r="H217" s="1">
        <v>4.98</v>
      </c>
      <c r="I217" s="1">
        <v>5.04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2.75" customHeight="1">
      <c r="A218" s="1"/>
      <c r="B218" s="1"/>
      <c r="C218" s="1"/>
      <c r="D218" s="41">
        <v>500.0</v>
      </c>
      <c r="E218" s="41">
        <v>4.41</v>
      </c>
      <c r="F218" s="41">
        <v>4.53</v>
      </c>
      <c r="G218" s="41">
        <v>4.72</v>
      </c>
      <c r="H218" s="41">
        <v>5.11</v>
      </c>
      <c r="I218" s="41">
        <v>5.17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2.75" customHeight="1">
      <c r="A219" s="1"/>
      <c r="B219" s="1"/>
      <c r="C219" s="1"/>
      <c r="D219" s="1">
        <v>520.0</v>
      </c>
      <c r="E219" s="1">
        <v>4.54</v>
      </c>
      <c r="F219" s="1">
        <v>4.85</v>
      </c>
      <c r="G219" s="1">
        <v>4.85</v>
      </c>
      <c r="H219" s="1">
        <v>5.24</v>
      </c>
      <c r="I219" s="45">
        <v>5.3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2.75" customHeight="1">
      <c r="A220" s="1"/>
      <c r="B220" s="1"/>
      <c r="C220" s="1"/>
      <c r="D220" s="41">
        <v>540.0</v>
      </c>
      <c r="E220" s="41">
        <v>4.65</v>
      </c>
      <c r="F220" s="41">
        <v>4.97</v>
      </c>
      <c r="G220" s="41">
        <v>4.97</v>
      </c>
      <c r="H220" s="41">
        <v>5.36</v>
      </c>
      <c r="I220" s="41">
        <v>5.42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ht="12.75" customHeight="1">
      <c r="A221" s="1"/>
      <c r="B221" s="1"/>
      <c r="C221" s="1"/>
      <c r="D221" s="1">
        <v>560.0</v>
      </c>
      <c r="E221" s="1">
        <v>4.74</v>
      </c>
      <c r="F221" s="1">
        <v>5.05</v>
      </c>
      <c r="G221" s="1">
        <v>5.05</v>
      </c>
      <c r="H221" s="1">
        <v>5.44</v>
      </c>
      <c r="I221" s="45">
        <v>5.5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ht="12.75" customHeight="1">
      <c r="A222" s="1"/>
      <c r="B222" s="1"/>
      <c r="C222" s="1"/>
      <c r="D222" s="41">
        <v>580.0</v>
      </c>
      <c r="E222" s="41">
        <v>4.79</v>
      </c>
      <c r="F222" s="42">
        <v>5.1</v>
      </c>
      <c r="G222" s="42">
        <v>5.1</v>
      </c>
      <c r="H222" s="41">
        <v>5.49</v>
      </c>
      <c r="I222" s="41">
        <v>5.55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ht="12.75" customHeight="1">
      <c r="A223" s="1"/>
      <c r="B223" s="1"/>
      <c r="C223" s="1"/>
      <c r="D223" s="1">
        <v>600.0</v>
      </c>
      <c r="E223" s="1">
        <v>4.82</v>
      </c>
      <c r="F223" s="1">
        <v>5.13</v>
      </c>
      <c r="G223" s="1">
        <v>5.13</v>
      </c>
      <c r="H223" s="1">
        <v>5.52</v>
      </c>
      <c r="I223" s="1">
        <v>5.58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  <row r="1001" ht="12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</row>
    <row r="1002" ht="12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</row>
    <row r="1003" ht="12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</row>
    <row r="1004" ht="12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</row>
    <row r="1005" ht="12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</row>
    <row r="1006" ht="12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</row>
    <row r="1007" ht="12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</row>
    <row r="1008" ht="12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</row>
    <row r="1009" ht="12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</row>
    <row r="1010" ht="12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</row>
    <row r="1011" ht="12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</row>
    <row r="1012" ht="12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</row>
    <row r="1013" ht="12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</row>
    <row r="1014" ht="12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</row>
    <row r="1015" ht="12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</row>
    <row r="1016" ht="12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</row>
    <row r="1017" ht="12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</row>
    <row r="1018" ht="12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</row>
    <row r="1019" ht="12.7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</row>
    <row r="1020" ht="12.7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</row>
    <row r="1021" ht="12.7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</row>
    <row r="1022" ht="12.7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</row>
    <row r="1023" ht="12.7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</row>
    <row r="1024" ht="12.7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</row>
    <row r="1025" ht="12.7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</row>
    <row r="1026" ht="12.7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</row>
    <row r="1027" ht="12.7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</row>
    <row r="1028" ht="12.7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</row>
    <row r="1029" ht="12.7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</row>
    <row r="1030" ht="12.7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</row>
    <row r="1031" ht="12.7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</row>
    <row r="1032" ht="12.7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</row>
    <row r="1033" ht="12.7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</row>
    <row r="1034" ht="12.7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</row>
    <row r="1035" ht="12.7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</row>
    <row r="1036" ht="12.75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</row>
    <row r="1037" ht="12.7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</row>
    <row r="1038" ht="12.7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</row>
    <row r="1039" ht="12.75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</row>
    <row r="1040" ht="12.7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</row>
    <row r="1041" ht="12.75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</row>
    <row r="1042" ht="12.75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</row>
    <row r="1043" ht="12.75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</row>
    <row r="1044" ht="12.75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</row>
    <row r="1045" ht="12.75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</row>
    <row r="1046" ht="12.7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</row>
    <row r="1047" ht="12.75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</row>
    <row r="1048" ht="12.75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</row>
    <row r="1049" ht="12.75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</row>
    <row r="1050" ht="12.75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</row>
    <row r="1051" ht="12.75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</row>
    <row r="1052" ht="12.75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</row>
    <row r="1053" ht="12.75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</row>
    <row r="1054" ht="12.7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</row>
    <row r="1055" ht="12.75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</row>
    <row r="1056" ht="12.75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</row>
    <row r="1057" ht="12.75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</row>
    <row r="1058" ht="12.75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</row>
    <row r="1059" ht="12.75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</row>
    <row r="1060" ht="12.75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</row>
    <row r="1061" ht="12.75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</row>
    <row r="1062" ht="12.75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</row>
    <row r="1063" ht="12.75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</row>
    <row r="1064" ht="12.75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</row>
    <row r="1065" ht="12.75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</row>
    <row r="1066" ht="12.75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</row>
    <row r="1067" ht="12.75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</row>
    <row r="1068" ht="12.75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</row>
    <row r="1069" ht="12.75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</row>
    <row r="1070" ht="12.75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</row>
    <row r="1071" ht="12.75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</row>
    <row r="1072" ht="12.75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</row>
    <row r="1073" ht="12.75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</row>
    <row r="1074" ht="12.75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</row>
    <row r="1075" ht="12.75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</row>
    <row r="1076" ht="12.75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</row>
    <row r="1077" ht="12.75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</row>
    <row r="1078" ht="12.75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</row>
  </sheetData>
  <mergeCells count="24">
    <mergeCell ref="A21:A22"/>
    <mergeCell ref="A28:A29"/>
    <mergeCell ref="A35:A36"/>
    <mergeCell ref="A42:A43"/>
    <mergeCell ref="A49:A50"/>
    <mergeCell ref="A56:A57"/>
    <mergeCell ref="A63:A64"/>
    <mergeCell ref="A70:A71"/>
    <mergeCell ref="C1:D1"/>
    <mergeCell ref="S2:Z2"/>
    <mergeCell ref="S3:Z3"/>
    <mergeCell ref="S4:Z4"/>
    <mergeCell ref="S5:Z5"/>
    <mergeCell ref="A13:A14"/>
    <mergeCell ref="B18:I18"/>
    <mergeCell ref="T62:T63"/>
    <mergeCell ref="T69:T70"/>
    <mergeCell ref="T13:T14"/>
    <mergeCell ref="T20:T21"/>
    <mergeCell ref="T27:T28"/>
    <mergeCell ref="T34:T35"/>
    <mergeCell ref="T41:T42"/>
    <mergeCell ref="T48:T49"/>
    <mergeCell ref="T55:T56"/>
  </mergeCells>
  <conditionalFormatting sqref="R1:R74 AK10:AK73 R138:R1078">
    <cfRule type="cellIs" dxfId="0" priority="1" operator="greaterThan">
      <formula>0.5</formula>
    </cfRule>
  </conditionalFormatting>
  <conditionalFormatting sqref="R1:R74 AK10:AK73 R138:R1078">
    <cfRule type="cellIs" dxfId="1" priority="2" operator="lessThan">
      <formula>-0.25</formula>
    </cfRule>
  </conditionalFormatting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14.0"/>
    <col customWidth="1" min="3" max="4" width="10.5"/>
    <col customWidth="1" min="5" max="12" width="5.25"/>
    <col customWidth="1" min="13" max="20" width="0.38"/>
    <col customWidth="1" min="21" max="23" width="6.0"/>
    <col customWidth="1" min="24" max="24" width="9.75"/>
    <col customWidth="1" min="25" max="25" width="7.75"/>
    <col customWidth="1" min="26" max="33" width="6.0"/>
  </cols>
  <sheetData>
    <row r="1" ht="12.75" customHeight="1">
      <c r="A1" s="47" t="s">
        <v>25</v>
      </c>
      <c r="B1" s="48" t="s">
        <v>26</v>
      </c>
      <c r="E1" s="47"/>
      <c r="F1" s="47"/>
      <c r="G1" s="47"/>
      <c r="H1" s="47"/>
      <c r="I1" s="47"/>
      <c r="J1" s="47" t="s">
        <v>27</v>
      </c>
      <c r="K1" s="47"/>
      <c r="L1" s="47"/>
      <c r="M1" s="14"/>
      <c r="N1" s="47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</row>
    <row r="2" ht="12.75" customHeight="1">
      <c r="A2" s="47"/>
      <c r="E2" s="47"/>
      <c r="F2" s="47"/>
      <c r="G2" s="47"/>
      <c r="H2" s="47"/>
      <c r="I2" s="47"/>
      <c r="J2" s="47" t="s">
        <v>28</v>
      </c>
      <c r="K2" s="47"/>
      <c r="L2" s="47"/>
      <c r="M2" s="14"/>
      <c r="N2" s="47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ht="12.75" customHeight="1">
      <c r="A3" s="14"/>
      <c r="E3" s="47"/>
      <c r="F3" s="47"/>
      <c r="G3" s="47"/>
      <c r="H3" s="47"/>
      <c r="I3" s="47"/>
      <c r="J3" s="47" t="s">
        <v>29</v>
      </c>
      <c r="K3" s="47"/>
      <c r="L3" s="47"/>
      <c r="M3" s="14"/>
      <c r="N3" s="47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 ht="12.75" customHeight="1">
      <c r="A4" s="14"/>
      <c r="B4" s="14"/>
      <c r="C4" s="14"/>
      <c r="D4" s="14"/>
      <c r="E4" s="47"/>
      <c r="F4" s="47"/>
      <c r="G4" s="47"/>
      <c r="H4" s="47"/>
      <c r="I4" s="47"/>
      <c r="J4" s="47">
        <v>100.0</v>
      </c>
      <c r="K4" s="47"/>
      <c r="L4" s="47"/>
      <c r="M4" s="14"/>
      <c r="N4" s="47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</row>
    <row r="5" ht="12.75" customHeight="1">
      <c r="A5" s="14"/>
      <c r="B5" s="14"/>
      <c r="C5" s="14"/>
      <c r="D5" s="14"/>
      <c r="E5" s="47"/>
      <c r="F5" s="47"/>
      <c r="G5" s="47"/>
      <c r="H5" s="47"/>
      <c r="I5" s="47"/>
      <c r="J5" s="47" t="s">
        <v>30</v>
      </c>
      <c r="K5" s="47"/>
      <c r="L5" s="47"/>
      <c r="M5" s="14"/>
      <c r="N5" s="47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</row>
    <row r="6" ht="12.75" customHeight="1">
      <c r="A6" s="47"/>
      <c r="B6" s="47"/>
      <c r="C6" s="47"/>
      <c r="D6" s="47"/>
      <c r="E6" s="47"/>
      <c r="F6" s="47" t="s">
        <v>12</v>
      </c>
      <c r="G6" s="47" t="s">
        <v>13</v>
      </c>
      <c r="H6" s="47" t="s">
        <v>14</v>
      </c>
      <c r="I6" s="47" t="s">
        <v>15</v>
      </c>
      <c r="J6" s="47" t="s">
        <v>16</v>
      </c>
      <c r="K6" s="47" t="s">
        <v>17</v>
      </c>
      <c r="L6" s="47" t="s">
        <v>18</v>
      </c>
      <c r="M6" s="14"/>
      <c r="N6" s="47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</row>
    <row r="7" ht="12.75" customHeight="1">
      <c r="A7" s="47"/>
      <c r="B7" s="47" t="s">
        <v>31</v>
      </c>
      <c r="D7" s="49" t="s">
        <v>19</v>
      </c>
      <c r="E7" s="49">
        <v>1.0</v>
      </c>
      <c r="F7" s="50">
        <v>580.0</v>
      </c>
      <c r="G7" s="51"/>
      <c r="H7" s="52"/>
      <c r="I7" s="52"/>
      <c r="J7" s="52"/>
      <c r="K7" s="51"/>
      <c r="L7" s="49">
        <v>2.0</v>
      </c>
      <c r="M7" s="14">
        <f t="shared" ref="M7:Q7" si="1">IF(F7="","", LOOKUP(F7, $G$157:$G$220, H$157:H$220))</f>
        <v>4.79</v>
      </c>
      <c r="N7" s="14" t="str">
        <f t="shared" si="1"/>
        <v/>
      </c>
      <c r="O7" s="14" t="str">
        <f t="shared" si="1"/>
        <v/>
      </c>
      <c r="P7" s="14" t="str">
        <f t="shared" si="1"/>
        <v/>
      </c>
      <c r="Q7" s="14" t="str">
        <f t="shared" si="1"/>
        <v/>
      </c>
      <c r="R7" s="14" t="str">
        <f t="shared" ref="R7:R8" si="3">IF(K7="","", LOOKUP(K7, L$175:L$220, M$175:M$220))</f>
        <v/>
      </c>
      <c r="S7" s="14">
        <f t="shared" ref="S7:S13" si="4">IF(SUM(M7:R7)=0, "", SUM(M7:R7))</f>
        <v>4.79</v>
      </c>
      <c r="T7" s="14"/>
      <c r="U7" s="53">
        <f>IF(S7="", "", IF(S8="", IF(S9="",S7-L7-1-S10, S7-L7-1-S9), S7-L7-1-S8))</f>
        <v>-1.47</v>
      </c>
      <c r="V7" s="14"/>
      <c r="W7" s="49" t="s">
        <v>1</v>
      </c>
      <c r="X7" s="54" t="s">
        <v>2</v>
      </c>
      <c r="Y7" s="55" t="s">
        <v>3</v>
      </c>
      <c r="Z7" s="56" t="s">
        <v>4</v>
      </c>
      <c r="AA7" s="47"/>
      <c r="AB7" s="47"/>
      <c r="AC7" s="47"/>
      <c r="AD7" s="14"/>
      <c r="AE7" s="14"/>
      <c r="AF7" s="14"/>
      <c r="AG7" s="14"/>
    </row>
    <row r="8" ht="12.75" customHeight="1">
      <c r="A8" s="47" t="s">
        <v>32</v>
      </c>
      <c r="D8" s="54" t="s">
        <v>33</v>
      </c>
      <c r="E8" s="52"/>
      <c r="F8" s="51"/>
      <c r="G8" s="54">
        <v>210.0</v>
      </c>
      <c r="H8" s="54"/>
      <c r="I8" s="57"/>
      <c r="J8" s="57"/>
      <c r="K8" s="51"/>
      <c r="L8" s="57"/>
      <c r="M8" s="14" t="str">
        <f t="shared" ref="M8:Q8" si="2">IF(F8="","", LOOKUP(F8, $G$157:$G$220, H$157:H$220))</f>
        <v/>
      </c>
      <c r="N8" s="14">
        <f t="shared" si="2"/>
        <v>3.26</v>
      </c>
      <c r="O8" s="14" t="str">
        <f t="shared" si="2"/>
        <v/>
      </c>
      <c r="P8" s="14" t="str">
        <f t="shared" si="2"/>
        <v/>
      </c>
      <c r="Q8" s="14" t="str">
        <f t="shared" si="2"/>
        <v/>
      </c>
      <c r="R8" s="14" t="str">
        <f t="shared" si="3"/>
        <v/>
      </c>
      <c r="S8" s="14">
        <f t="shared" si="4"/>
        <v>3.26</v>
      </c>
      <c r="T8" s="14" t="str">
        <f>T10:U10</f>
        <v/>
      </c>
      <c r="U8" s="57">
        <f t="shared" ref="U8:U10" si="6">IF(S8="", "", IF(S9="", S8-L8-1-S10, S8-L8-1-S9))</f>
        <v>-0.27</v>
      </c>
      <c r="V8" s="14"/>
      <c r="W8" s="14">
        <f>U7+U17+U24+U31+U38+U45+U52+U59+U66+U73+U80+U87+U94+U101+U108+U115+U122+U129</f>
        <v>-1.47</v>
      </c>
      <c r="X8" s="14">
        <f>U8+U9+U18+U19+U25+U26+U32+U33+U39+U40+U46+U47+U53+U54+U60+U61+U67+U68+U74+U75+U81+U82+U88+U89+U95+U96+U102+U103+U109+U110+U116+U117+U123+U124+U130+U131</f>
        <v>-0.08</v>
      </c>
      <c r="Y8" s="14">
        <f>U10+U20++U27+U34+U41+U48+U55+U62+U69+U76+U83+U90+U97+U104+U111+U118+U125+U132</f>
        <v>-0.34</v>
      </c>
      <c r="Z8" s="14">
        <f>U11+U12+U21+U22+U28+U29++U35+U36+U42+U43+U49+U50+U56+U57+U63+U64+U70+U71+U77+U78+U84+U85+U91+U92+U98+U99+U105+U106+U112+U113+U119+U120+U126+U127+U133+U134</f>
        <v>-1.15</v>
      </c>
      <c r="AA8" s="14"/>
      <c r="AB8" s="14"/>
      <c r="AC8" s="14"/>
      <c r="AD8" s="14"/>
      <c r="AE8" s="14"/>
      <c r="AF8" s="14"/>
      <c r="AG8" s="14"/>
    </row>
    <row r="9" ht="12.75" customHeight="1">
      <c r="E9" s="52"/>
      <c r="F9" s="57"/>
      <c r="G9" s="54"/>
      <c r="H9" s="54"/>
      <c r="I9" s="57"/>
      <c r="J9" s="57"/>
      <c r="K9" s="51"/>
      <c r="L9" s="57"/>
      <c r="M9" s="14" t="str">
        <f t="shared" ref="M9:Q9" si="5">IF(F9="","", LOOKUP(F9, $G$157:$G$220, H$157:H$220))</f>
        <v/>
      </c>
      <c r="N9" s="14" t="str">
        <f t="shared" si="5"/>
        <v/>
      </c>
      <c r="O9" s="14" t="str">
        <f t="shared" si="5"/>
        <v/>
      </c>
      <c r="P9" s="14" t="str">
        <f t="shared" si="5"/>
        <v/>
      </c>
      <c r="Q9" s="14" t="str">
        <f t="shared" si="5"/>
        <v/>
      </c>
      <c r="R9" s="14"/>
      <c r="S9" s="14" t="str">
        <f t="shared" si="4"/>
        <v/>
      </c>
      <c r="T9" s="14"/>
      <c r="U9" s="57" t="str">
        <f t="shared" si="6"/>
        <v/>
      </c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</row>
    <row r="10" ht="32.25" customHeight="1">
      <c r="A10" s="47" t="s">
        <v>34</v>
      </c>
      <c r="D10" s="55" t="s">
        <v>35</v>
      </c>
      <c r="E10" s="52"/>
      <c r="F10" s="51"/>
      <c r="G10" s="55"/>
      <c r="H10" s="55"/>
      <c r="I10" s="55">
        <v>20.0</v>
      </c>
      <c r="J10" s="58"/>
      <c r="K10" s="52"/>
      <c r="L10" s="58"/>
      <c r="M10" s="14" t="str">
        <f t="shared" ref="M10:Q10" si="7">IF(F10="","", LOOKUP(F10, $G$157:$G$220, H$157:H$220))</f>
        <v/>
      </c>
      <c r="N10" s="14" t="str">
        <f t="shared" si="7"/>
        <v/>
      </c>
      <c r="O10" s="14" t="str">
        <f t="shared" si="7"/>
        <v/>
      </c>
      <c r="P10" s="14">
        <f t="shared" si="7"/>
        <v>2.53</v>
      </c>
      <c r="Q10" s="14" t="str">
        <f t="shared" si="7"/>
        <v/>
      </c>
      <c r="R10" s="14" t="str">
        <f>if(K10="", "", If(K10&gt;$N$209, $O$209, if(K10&gt;$N$208, $O$208, if(K10&gt;$N$207, $O$207, if(K10&gt;$N$206, $O$206, if(K10&gt;$N$205, $O$205, if(K10&gt;$N$203, $O$203, if(K10&gt;$N$201, $O$201, if(K10&gt;$N$199, $O$199, if(K10&gt;$N$197, $O$197, if(K10&gt;$N$195, $O$195, if(K10&gt;$N$191, $O$191, if(K10&gt;$N$187, $O$187, if(K10&gt;$N$183, $O$183, if(K10&gt;$N$179, $O$179, if(K10&gt;$N$175, $O$175, $O$175))))))))))))))))</f>
        <v/>
      </c>
      <c r="S10" s="14">
        <f t="shared" si="4"/>
        <v>2.53</v>
      </c>
      <c r="T10" s="14"/>
      <c r="U10" s="58">
        <f t="shared" si="6"/>
        <v>-0.34</v>
      </c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ht="12.75" customHeight="1">
      <c r="A11" s="47" t="s">
        <v>36</v>
      </c>
      <c r="D11" s="56" t="s">
        <v>22</v>
      </c>
      <c r="E11" s="52"/>
      <c r="F11" s="51"/>
      <c r="G11" s="51"/>
      <c r="H11" s="51"/>
      <c r="I11" s="51"/>
      <c r="J11" s="51"/>
      <c r="K11" s="56">
        <v>30.0</v>
      </c>
      <c r="L11" s="52"/>
      <c r="M11" s="14" t="str">
        <f t="shared" ref="M11:Q11" si="8">IF(F11="","", LOOKUP(F11, $G$157:$G$220, H$157:H$220))</f>
        <v/>
      </c>
      <c r="N11" s="14" t="str">
        <f t="shared" si="8"/>
        <v/>
      </c>
      <c r="O11" s="14" t="str">
        <f t="shared" si="8"/>
        <v/>
      </c>
      <c r="P11" s="14" t="str">
        <f t="shared" si="8"/>
        <v/>
      </c>
      <c r="Q11" s="14" t="str">
        <f t="shared" si="8"/>
        <v/>
      </c>
      <c r="R11" s="14">
        <f t="shared" ref="R11:R13" si="10">if(K11=1, 1, IF(K11="", "", If(K11&gt;$N$209, $O$209, if(K11&gt;$N$208, $O$208, if(K11&gt;$N$207, $O$207, if(K11&gt;$N$206, $O$206, if(K11&gt;$N$205, $O$205, if(K11&gt;$N$203, $O$203, if(K11&gt;$N$201, $O$201, if(K11&gt;$N$199, $O$199, if(K11&gt;$N$197, $O$197, if(K11&gt;$N$195, $O$195, if(K11&gt;$N$191, $O$191, if(K11&gt;$N$187, $O$187, if(K11&gt;$N$183, $O$183, if(K11&gt;$N$179, $O$179, if(K11&gt;$N$175, $O$175, $O$175)))))))))))))))))</f>
        <v>1.87</v>
      </c>
      <c r="S11" s="14">
        <f t="shared" si="4"/>
        <v>1.87</v>
      </c>
      <c r="T11" s="14"/>
      <c r="U11" s="59">
        <f t="shared" ref="U11:U12" si="11">IF(S11="", "", S11-L11-1-S12)</f>
        <v>-0.26</v>
      </c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</row>
    <row r="12" ht="12.75" customHeight="1">
      <c r="A12" s="48" t="s">
        <v>37</v>
      </c>
      <c r="D12" s="14"/>
      <c r="E12" s="52"/>
      <c r="F12" s="51"/>
      <c r="G12" s="51"/>
      <c r="H12" s="51"/>
      <c r="I12" s="51"/>
      <c r="J12" s="51"/>
      <c r="K12" s="56">
        <v>5.0</v>
      </c>
      <c r="L12" s="60"/>
      <c r="M12" s="14" t="str">
        <f t="shared" ref="M12:Q12" si="9">IF(F12="","", LOOKUP(F12, $G$157:$G$220, H$157:H$220))</f>
        <v/>
      </c>
      <c r="N12" s="14" t="str">
        <f t="shared" si="9"/>
        <v/>
      </c>
      <c r="O12" s="14" t="str">
        <f t="shared" si="9"/>
        <v/>
      </c>
      <c r="P12" s="14" t="str">
        <f t="shared" si="9"/>
        <v/>
      </c>
      <c r="Q12" s="14" t="str">
        <f t="shared" si="9"/>
        <v/>
      </c>
      <c r="R12" s="14">
        <f t="shared" si="10"/>
        <v>1.13</v>
      </c>
      <c r="S12" s="14">
        <f t="shared" si="4"/>
        <v>1.13</v>
      </c>
      <c r="T12" s="14"/>
      <c r="U12" s="59">
        <f t="shared" si="11"/>
        <v>0.13</v>
      </c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ht="12.75" customHeight="1">
      <c r="D13" s="14"/>
      <c r="E13" s="34" t="s">
        <v>38</v>
      </c>
      <c r="M13" s="14" t="str">
        <f t="shared" ref="M13:Q13" si="12">IF(F13="","", LOOKUP(F13, $G$157:$G$220, H$157:H$220))</f>
        <v/>
      </c>
      <c r="N13" s="14" t="str">
        <f t="shared" si="12"/>
        <v/>
      </c>
      <c r="O13" s="14" t="str">
        <f t="shared" si="12"/>
        <v/>
      </c>
      <c r="P13" s="14" t="str">
        <f t="shared" si="12"/>
        <v/>
      </c>
      <c r="Q13" s="14" t="str">
        <f t="shared" si="12"/>
        <v/>
      </c>
      <c r="R13" s="14" t="str">
        <f t="shared" si="10"/>
        <v/>
      </c>
      <c r="S13" s="14" t="str">
        <f t="shared" si="4"/>
        <v/>
      </c>
      <c r="T13" s="14"/>
      <c r="U13" s="14" t="str">
        <f>IF(S13="", "", S13-L13-1-S17)</f>
        <v/>
      </c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</row>
    <row r="14" ht="12.75" customHeight="1">
      <c r="D14" s="47"/>
      <c r="E14" s="47"/>
      <c r="F14" s="47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ht="12.75" customHeight="1">
      <c r="A15" s="47"/>
      <c r="B15" s="47"/>
      <c r="C15" s="47"/>
      <c r="D15" s="47"/>
      <c r="E15" s="47"/>
      <c r="F15" s="47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</row>
    <row r="16" ht="12.75" customHeight="1">
      <c r="A16" s="47" t="s">
        <v>25</v>
      </c>
      <c r="B16" s="48" t="s">
        <v>39</v>
      </c>
      <c r="D16" s="47"/>
      <c r="E16" s="47"/>
      <c r="F16" s="47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</row>
    <row r="17" ht="12.75" customHeight="1">
      <c r="A17" s="47"/>
      <c r="D17" s="47" t="s">
        <v>19</v>
      </c>
      <c r="E17" s="49">
        <v>2.0</v>
      </c>
      <c r="F17" s="49"/>
      <c r="G17" s="51"/>
      <c r="H17" s="51"/>
      <c r="I17" s="51"/>
      <c r="J17" s="51"/>
      <c r="K17" s="51"/>
      <c r="L17" s="51"/>
      <c r="M17" s="14" t="str">
        <f t="shared" ref="M17:Q17" si="13">IF(F17="","", LOOKUP(F17, $G$157:$G$220, H$157:H$220))</f>
        <v/>
      </c>
      <c r="N17" s="14" t="str">
        <f t="shared" si="13"/>
        <v/>
      </c>
      <c r="O17" s="14" t="str">
        <f t="shared" si="13"/>
        <v/>
      </c>
      <c r="P17" s="14" t="str">
        <f t="shared" si="13"/>
        <v/>
      </c>
      <c r="Q17" s="14" t="str">
        <f t="shared" si="13"/>
        <v/>
      </c>
      <c r="R17" s="14" t="str">
        <f t="shared" ref="R17:R134" si="15">if(K17=1, 1, IF(K17="", "", If(K17&gt;$N$209, $O$209, if(K17&gt;$N$208, $O$208, if(K17&gt;$N$207, $O$207, if(K17&gt;$N$206, $O$206, if(K17&gt;$N$205, $O$205, if(K17&gt;$N$203, $O$203, if(K17&gt;$N$201, $O$201, if(K17&gt;$N$199, $O$199, if(K17&gt;$N$197, $O$197, if(K17&gt;$N$195, $O$195, if(K17&gt;$N$191, $O$191, if(K17&gt;$N$187, $O$187, if(K17&gt;$N$183, $O$183, if(K17&gt;$N$179, $O$179, if(K17&gt;$N$175, $O$175, $O$175)))))))))))))))))</f>
        <v/>
      </c>
      <c r="S17" s="14" t="str">
        <f t="shared" ref="S17:S134" si="16">IF(SUM(M17:R17)=0, "", SUM(M17:R17))</f>
        <v/>
      </c>
      <c r="T17" s="14"/>
      <c r="U17" s="53" t="str">
        <f>IF(S17="", "", IF(S18="", IF(S19="",S17-L17-1-S20, S17-L17-1-S19), S17-L17-1-S18))</f>
        <v/>
      </c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</row>
    <row r="18" ht="12.75" customHeight="1">
      <c r="A18" s="47"/>
      <c r="D18" s="47" t="s">
        <v>33</v>
      </c>
      <c r="E18" s="52"/>
      <c r="F18" s="51"/>
      <c r="G18" s="57"/>
      <c r="H18" s="54"/>
      <c r="I18" s="57"/>
      <c r="J18" s="57"/>
      <c r="K18" s="51"/>
      <c r="L18" s="57"/>
      <c r="M18" s="14" t="str">
        <f t="shared" ref="M18:Q18" si="14">IF(F18="","", LOOKUP(F18, $G$157:$G$220, H$157:H$220))</f>
        <v/>
      </c>
      <c r="N18" s="14" t="str">
        <f t="shared" si="14"/>
        <v/>
      </c>
      <c r="O18" s="14" t="str">
        <f t="shared" si="14"/>
        <v/>
      </c>
      <c r="P18" s="14" t="str">
        <f t="shared" si="14"/>
        <v/>
      </c>
      <c r="Q18" s="14" t="str">
        <f t="shared" si="14"/>
        <v/>
      </c>
      <c r="R18" s="14" t="str">
        <f t="shared" si="15"/>
        <v/>
      </c>
      <c r="S18" s="14" t="str">
        <f t="shared" si="16"/>
        <v/>
      </c>
      <c r="T18" s="14"/>
      <c r="U18" s="57" t="str">
        <f t="shared" ref="U18:U20" si="18">IF(S18="", "", IF(S19="", S18-L18-1-S20, S18-L18-1-S19))</f>
        <v/>
      </c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</row>
    <row r="19" ht="12.75" customHeight="1">
      <c r="A19" s="47"/>
      <c r="E19" s="52"/>
      <c r="F19" s="54">
        <v>220.0</v>
      </c>
      <c r="G19" s="54"/>
      <c r="H19" s="57"/>
      <c r="I19" s="57"/>
      <c r="J19" s="57"/>
      <c r="K19" s="51"/>
      <c r="L19" s="57"/>
      <c r="M19" s="14">
        <f t="shared" ref="M19:Q19" si="17">IF(F19="","", LOOKUP(F19, $G$157:$G$220, H$157:H$220))</f>
        <v>3.17</v>
      </c>
      <c r="N19" s="14" t="str">
        <f t="shared" si="17"/>
        <v/>
      </c>
      <c r="O19" s="14" t="str">
        <f t="shared" si="17"/>
        <v/>
      </c>
      <c r="P19" s="14" t="str">
        <f t="shared" si="17"/>
        <v/>
      </c>
      <c r="Q19" s="14" t="str">
        <f t="shared" si="17"/>
        <v/>
      </c>
      <c r="R19" s="14" t="str">
        <f t="shared" si="15"/>
        <v/>
      </c>
      <c r="S19" s="14">
        <f t="shared" si="16"/>
        <v>3.17</v>
      </c>
      <c r="T19" s="14"/>
      <c r="U19" s="57">
        <f t="shared" si="18"/>
        <v>0.19</v>
      </c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</row>
    <row r="20" ht="12.75" customHeight="1">
      <c r="A20" s="47"/>
      <c r="D20" s="47" t="s">
        <v>35</v>
      </c>
      <c r="E20" s="52"/>
      <c r="F20" s="51"/>
      <c r="G20" s="55"/>
      <c r="H20" s="58"/>
      <c r="I20" s="58"/>
      <c r="J20" s="58"/>
      <c r="K20" s="52"/>
      <c r="L20" s="58"/>
      <c r="M20" s="14" t="str">
        <f t="shared" ref="M20:Q20" si="19">IF(F20="","", LOOKUP(F20, $G$157:$G$220, H$157:H$220))</f>
        <v/>
      </c>
      <c r="N20" s="14" t="str">
        <f t="shared" si="19"/>
        <v/>
      </c>
      <c r="O20" s="14" t="str">
        <f t="shared" si="19"/>
        <v/>
      </c>
      <c r="P20" s="14" t="str">
        <f t="shared" si="19"/>
        <v/>
      </c>
      <c r="Q20" s="14" t="str">
        <f t="shared" si="19"/>
        <v/>
      </c>
      <c r="R20" s="14" t="str">
        <f t="shared" si="15"/>
        <v/>
      </c>
      <c r="S20" s="14" t="str">
        <f t="shared" si="16"/>
        <v/>
      </c>
      <c r="T20" s="14"/>
      <c r="U20" s="58" t="str">
        <f t="shared" si="18"/>
        <v/>
      </c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  <row r="21" ht="12.75" customHeight="1">
      <c r="A21" s="47"/>
      <c r="B21" s="47"/>
      <c r="C21" s="47"/>
      <c r="D21" s="47" t="s">
        <v>22</v>
      </c>
      <c r="E21" s="52"/>
      <c r="F21" s="51"/>
      <c r="G21" s="51"/>
      <c r="H21" s="51"/>
      <c r="I21" s="51"/>
      <c r="J21" s="51"/>
      <c r="K21" s="56">
        <v>40.0</v>
      </c>
      <c r="L21" s="59"/>
      <c r="M21" s="14" t="str">
        <f t="shared" ref="M21:Q21" si="20">IF(F21="","", LOOKUP(F21, $G$157:$G$220, H$157:H$220))</f>
        <v/>
      </c>
      <c r="N21" s="14" t="str">
        <f t="shared" si="20"/>
        <v/>
      </c>
      <c r="O21" s="14" t="str">
        <f t="shared" si="20"/>
        <v/>
      </c>
      <c r="P21" s="14" t="str">
        <f t="shared" si="20"/>
        <v/>
      </c>
      <c r="Q21" s="14" t="str">
        <f t="shared" si="20"/>
        <v/>
      </c>
      <c r="R21" s="14">
        <f t="shared" si="15"/>
        <v>1.98</v>
      </c>
      <c r="S21" s="14">
        <f t="shared" si="16"/>
        <v>1.98</v>
      </c>
      <c r="T21" s="14"/>
      <c r="U21" s="59">
        <f t="shared" ref="U21:U23" si="22">IF(S21="", "", S21-L21-1-S22)</f>
        <v>-0.44</v>
      </c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ht="12.75" customHeight="1">
      <c r="A22" s="14"/>
      <c r="B22" s="14"/>
      <c r="C22" s="14"/>
      <c r="D22" s="14"/>
      <c r="E22" s="52"/>
      <c r="F22" s="51"/>
      <c r="G22" s="51"/>
      <c r="H22" s="51"/>
      <c r="I22" s="51"/>
      <c r="J22" s="51"/>
      <c r="K22" s="56">
        <v>8.0</v>
      </c>
      <c r="L22" s="61">
        <v>1.0</v>
      </c>
      <c r="M22" s="14" t="str">
        <f t="shared" ref="M22:Q22" si="21">IF(F22="","", LOOKUP(F22, $G$157:$G$220, H$157:H$220))</f>
        <v/>
      </c>
      <c r="N22" s="14" t="str">
        <f t="shared" si="21"/>
        <v/>
      </c>
      <c r="O22" s="14" t="str">
        <f t="shared" si="21"/>
        <v/>
      </c>
      <c r="P22" s="14" t="str">
        <f t="shared" si="21"/>
        <v/>
      </c>
      <c r="Q22" s="14" t="str">
        <f t="shared" si="21"/>
        <v/>
      </c>
      <c r="R22" s="14">
        <f t="shared" si="15"/>
        <v>1.42</v>
      </c>
      <c r="S22" s="14">
        <f t="shared" si="16"/>
        <v>1.42</v>
      </c>
      <c r="T22" s="14"/>
      <c r="U22" s="59">
        <f t="shared" si="22"/>
        <v>-0.58</v>
      </c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</row>
    <row r="23" ht="12.75" customHeight="1">
      <c r="A23" s="14"/>
      <c r="B23" s="14"/>
      <c r="C23" s="14"/>
      <c r="D23" s="14"/>
      <c r="E23" s="47"/>
      <c r="F23" s="14"/>
      <c r="G23" s="14"/>
      <c r="H23" s="14"/>
      <c r="I23" s="14"/>
      <c r="J23" s="14"/>
      <c r="K23" s="47"/>
      <c r="L23" s="14"/>
      <c r="M23" s="14" t="str">
        <f t="shared" ref="M23:Q23" si="23">IF(F23="","", LOOKUP(F23, $G$157:$G$220, H$157:H$220))</f>
        <v/>
      </c>
      <c r="N23" s="14" t="str">
        <f t="shared" si="23"/>
        <v/>
      </c>
      <c r="O23" s="14" t="str">
        <f t="shared" si="23"/>
        <v/>
      </c>
      <c r="P23" s="14" t="str">
        <f t="shared" si="23"/>
        <v/>
      </c>
      <c r="Q23" s="14" t="str">
        <f t="shared" si="23"/>
        <v/>
      </c>
      <c r="R23" s="14" t="str">
        <f t="shared" si="15"/>
        <v/>
      </c>
      <c r="S23" s="14" t="str">
        <f t="shared" si="16"/>
        <v/>
      </c>
      <c r="T23" s="14"/>
      <c r="U23" s="14" t="str">
        <f t="shared" si="22"/>
        <v/>
      </c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</row>
    <row r="24" ht="12.75" customHeight="1">
      <c r="A24" s="47"/>
      <c r="B24" s="47"/>
      <c r="C24" s="47"/>
      <c r="D24" s="47" t="s">
        <v>19</v>
      </c>
      <c r="E24" s="49">
        <v>3.0</v>
      </c>
      <c r="F24" s="49"/>
      <c r="G24" s="53"/>
      <c r="H24" s="53"/>
      <c r="I24" s="53"/>
      <c r="J24" s="53"/>
      <c r="K24" s="53"/>
      <c r="L24" s="53"/>
      <c r="M24" s="14" t="str">
        <f t="shared" ref="M24:Q24" si="24">IF(F24="","", LOOKUP(F24, $G$157:$G$220, H$157:H$220))</f>
        <v/>
      </c>
      <c r="N24" s="14" t="str">
        <f t="shared" si="24"/>
        <v/>
      </c>
      <c r="O24" s="14" t="str">
        <f t="shared" si="24"/>
        <v/>
      </c>
      <c r="P24" s="14" t="str">
        <f t="shared" si="24"/>
        <v/>
      </c>
      <c r="Q24" s="14" t="str">
        <f t="shared" si="24"/>
        <v/>
      </c>
      <c r="R24" s="14" t="str">
        <f t="shared" si="15"/>
        <v/>
      </c>
      <c r="S24" s="14" t="str">
        <f t="shared" si="16"/>
        <v/>
      </c>
      <c r="T24" s="14"/>
      <c r="U24" s="53" t="str">
        <f>IF(S24="", "", IF(S25="", IF(S26="",S24-L24-1-S27, S24-L24-1-S26), S24-L24-1-S25))</f>
        <v/>
      </c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</row>
    <row r="25" ht="12.75" customHeight="1">
      <c r="A25" s="47" t="s">
        <v>40</v>
      </c>
      <c r="D25" s="47" t="s">
        <v>33</v>
      </c>
      <c r="E25" s="54"/>
      <c r="F25" s="54"/>
      <c r="G25" s="57"/>
      <c r="H25" s="57"/>
      <c r="I25" s="57"/>
      <c r="J25" s="57"/>
      <c r="K25" s="57"/>
      <c r="L25" s="57"/>
      <c r="M25" s="14" t="str">
        <f t="shared" ref="M25:Q25" si="25">IF(F25="","", LOOKUP(F25, $G$157:$G$220, H$157:H$220))</f>
        <v/>
      </c>
      <c r="N25" s="14" t="str">
        <f t="shared" si="25"/>
        <v/>
      </c>
      <c r="O25" s="14" t="str">
        <f t="shared" si="25"/>
        <v/>
      </c>
      <c r="P25" s="14" t="str">
        <f t="shared" si="25"/>
        <v/>
      </c>
      <c r="Q25" s="14" t="str">
        <f t="shared" si="25"/>
        <v/>
      </c>
      <c r="R25" s="14" t="str">
        <f t="shared" si="15"/>
        <v/>
      </c>
      <c r="S25" s="14" t="str">
        <f t="shared" si="16"/>
        <v/>
      </c>
      <c r="T25" s="14"/>
      <c r="U25" s="57" t="str">
        <f t="shared" ref="U25:U27" si="27">IF(S25="", "", IF(S26="", S25-L25-1-S27, S25-L25-1-S26))</f>
        <v/>
      </c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  <row r="26" ht="12.75" customHeight="1">
      <c r="E26" s="54"/>
      <c r="F26" s="54"/>
      <c r="G26" s="57"/>
      <c r="H26" s="57"/>
      <c r="I26" s="57"/>
      <c r="J26" s="57"/>
      <c r="K26" s="54"/>
      <c r="L26" s="57"/>
      <c r="M26" s="14" t="str">
        <f t="shared" ref="M26:Q26" si="26">IF(F26="","", LOOKUP(F26, $G$157:$G$220, H$157:H$220))</f>
        <v/>
      </c>
      <c r="N26" s="14" t="str">
        <f t="shared" si="26"/>
        <v/>
      </c>
      <c r="O26" s="14" t="str">
        <f t="shared" si="26"/>
        <v/>
      </c>
      <c r="P26" s="14" t="str">
        <f t="shared" si="26"/>
        <v/>
      </c>
      <c r="Q26" s="14" t="str">
        <f t="shared" si="26"/>
        <v/>
      </c>
      <c r="R26" s="14" t="str">
        <f t="shared" si="15"/>
        <v/>
      </c>
      <c r="S26" s="14" t="str">
        <f t="shared" si="16"/>
        <v/>
      </c>
      <c r="T26" s="14"/>
      <c r="U26" s="57" t="str">
        <f t="shared" si="27"/>
        <v/>
      </c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</row>
    <row r="27" ht="12.75" customHeight="1">
      <c r="A27" s="47"/>
      <c r="B27" s="47"/>
      <c r="C27" s="47"/>
      <c r="D27" s="47" t="s">
        <v>35</v>
      </c>
      <c r="E27" s="55"/>
      <c r="F27" s="58"/>
      <c r="G27" s="58"/>
      <c r="H27" s="58"/>
      <c r="I27" s="58"/>
      <c r="J27" s="58"/>
      <c r="K27" s="55"/>
      <c r="L27" s="58"/>
      <c r="M27" s="14" t="str">
        <f t="shared" ref="M27:Q27" si="28">IF(F27="","", LOOKUP(F27, $G$157:$G$220, H$157:H$220))</f>
        <v/>
      </c>
      <c r="N27" s="14" t="str">
        <f t="shared" si="28"/>
        <v/>
      </c>
      <c r="O27" s="14" t="str">
        <f t="shared" si="28"/>
        <v/>
      </c>
      <c r="P27" s="14" t="str">
        <f t="shared" si="28"/>
        <v/>
      </c>
      <c r="Q27" s="14" t="str">
        <f t="shared" si="28"/>
        <v/>
      </c>
      <c r="R27" s="14" t="str">
        <f t="shared" si="15"/>
        <v/>
      </c>
      <c r="S27" s="14" t="str">
        <f t="shared" si="16"/>
        <v/>
      </c>
      <c r="T27" s="14"/>
      <c r="U27" s="58" t="str">
        <f t="shared" si="27"/>
        <v/>
      </c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 ht="12.75" customHeight="1">
      <c r="A28" s="48" t="s">
        <v>41</v>
      </c>
      <c r="D28" s="47" t="s">
        <v>22</v>
      </c>
      <c r="E28" s="56"/>
      <c r="F28" s="59"/>
      <c r="G28" s="59"/>
      <c r="H28" s="59"/>
      <c r="I28" s="59"/>
      <c r="J28" s="59"/>
      <c r="K28" s="56"/>
      <c r="L28" s="59"/>
      <c r="M28" s="14" t="str">
        <f t="shared" ref="M28:Q28" si="29">IF(F28="","", LOOKUP(F28, $G$157:$G$220, H$157:H$220))</f>
        <v/>
      </c>
      <c r="N28" s="14" t="str">
        <f t="shared" si="29"/>
        <v/>
      </c>
      <c r="O28" s="14" t="str">
        <f t="shared" si="29"/>
        <v/>
      </c>
      <c r="P28" s="14" t="str">
        <f t="shared" si="29"/>
        <v/>
      </c>
      <c r="Q28" s="14" t="str">
        <f t="shared" si="29"/>
        <v/>
      </c>
      <c r="R28" s="14" t="str">
        <f t="shared" si="15"/>
        <v/>
      </c>
      <c r="S28" s="14" t="str">
        <f t="shared" si="16"/>
        <v/>
      </c>
      <c r="T28" s="14"/>
      <c r="U28" s="59" t="str">
        <f t="shared" ref="U28:U30" si="31">IF(S28="", "", S28-L28-1-S29)</f>
        <v/>
      </c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 ht="12.75" customHeight="1">
      <c r="D29" s="14"/>
      <c r="E29" s="56"/>
      <c r="F29" s="59"/>
      <c r="G29" s="59"/>
      <c r="H29" s="59"/>
      <c r="I29" s="59"/>
      <c r="J29" s="59"/>
      <c r="K29" s="56"/>
      <c r="L29" s="60"/>
      <c r="M29" s="14" t="str">
        <f t="shared" ref="M29:Q29" si="30">IF(F29="","", LOOKUP(F29, $G$157:$G$220, H$157:H$220))</f>
        <v/>
      </c>
      <c r="N29" s="14" t="str">
        <f t="shared" si="30"/>
        <v/>
      </c>
      <c r="O29" s="14" t="str">
        <f t="shared" si="30"/>
        <v/>
      </c>
      <c r="P29" s="14" t="str">
        <f t="shared" si="30"/>
        <v/>
      </c>
      <c r="Q29" s="14" t="str">
        <f t="shared" si="30"/>
        <v/>
      </c>
      <c r="R29" s="14" t="str">
        <f t="shared" si="15"/>
        <v/>
      </c>
      <c r="S29" s="14" t="str">
        <f t="shared" si="16"/>
        <v/>
      </c>
      <c r="T29" s="14"/>
      <c r="U29" s="59" t="str">
        <f t="shared" si="31"/>
        <v/>
      </c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ht="12.75" customHeight="1">
      <c r="D30" s="14"/>
      <c r="E30" s="47"/>
      <c r="F30" s="14"/>
      <c r="G30" s="14"/>
      <c r="H30" s="14"/>
      <c r="I30" s="14"/>
      <c r="J30" s="14"/>
      <c r="K30" s="14"/>
      <c r="L30" s="14"/>
      <c r="M30" s="14" t="str">
        <f t="shared" ref="M30:Q30" si="32">IF(F30="","", LOOKUP(F30, $G$157:$G$220, H$157:H$220))</f>
        <v/>
      </c>
      <c r="N30" s="14" t="str">
        <f t="shared" si="32"/>
        <v/>
      </c>
      <c r="O30" s="14" t="str">
        <f t="shared" si="32"/>
        <v/>
      </c>
      <c r="P30" s="14" t="str">
        <f t="shared" si="32"/>
        <v/>
      </c>
      <c r="Q30" s="14" t="str">
        <f t="shared" si="32"/>
        <v/>
      </c>
      <c r="R30" s="14" t="str">
        <f t="shared" si="15"/>
        <v/>
      </c>
      <c r="S30" s="14" t="str">
        <f t="shared" si="16"/>
        <v/>
      </c>
      <c r="T30" s="14"/>
      <c r="U30" s="14" t="str">
        <f t="shared" si="31"/>
        <v/>
      </c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</row>
    <row r="31" ht="12.75" customHeight="1">
      <c r="D31" s="47" t="s">
        <v>19</v>
      </c>
      <c r="E31" s="49">
        <v>4.0</v>
      </c>
      <c r="F31" s="49"/>
      <c r="G31" s="53"/>
      <c r="H31" s="53"/>
      <c r="I31" s="53"/>
      <c r="J31" s="53"/>
      <c r="K31" s="53"/>
      <c r="L31" s="53"/>
      <c r="M31" s="14" t="str">
        <f t="shared" ref="M31:Q31" si="33">IF(F31="","", LOOKUP(F31, $G$157:$G$220, H$157:H$220))</f>
        <v/>
      </c>
      <c r="N31" s="14" t="str">
        <f t="shared" si="33"/>
        <v/>
      </c>
      <c r="O31" s="14" t="str">
        <f t="shared" si="33"/>
        <v/>
      </c>
      <c r="P31" s="14" t="str">
        <f t="shared" si="33"/>
        <v/>
      </c>
      <c r="Q31" s="14" t="str">
        <f t="shared" si="33"/>
        <v/>
      </c>
      <c r="R31" s="14" t="str">
        <f t="shared" si="15"/>
        <v/>
      </c>
      <c r="S31" s="14" t="str">
        <f t="shared" si="16"/>
        <v/>
      </c>
      <c r="T31" s="14"/>
      <c r="U31" s="53" t="str">
        <f>IF(S31="", "", IF(S32="", IF(S33="",S31-L31-1-S34, S31-L31-1-S33), S31-L31-1-S32))</f>
        <v/>
      </c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</row>
    <row r="32" ht="12.75" customHeight="1">
      <c r="A32" s="47"/>
      <c r="B32" s="47"/>
      <c r="C32" s="47"/>
      <c r="D32" s="47" t="s">
        <v>33</v>
      </c>
      <c r="E32" s="54"/>
      <c r="F32" s="57"/>
      <c r="G32" s="57"/>
      <c r="H32" s="54"/>
      <c r="I32" s="57"/>
      <c r="J32" s="57"/>
      <c r="K32" s="57"/>
      <c r="L32" s="57"/>
      <c r="M32" s="14" t="str">
        <f t="shared" ref="M32:Q32" si="34">IF(F32="","", LOOKUP(F32, $G$157:$G$220, H$157:H$220))</f>
        <v/>
      </c>
      <c r="N32" s="14" t="str">
        <f t="shared" si="34"/>
        <v/>
      </c>
      <c r="O32" s="14" t="str">
        <f t="shared" si="34"/>
        <v/>
      </c>
      <c r="P32" s="14" t="str">
        <f t="shared" si="34"/>
        <v/>
      </c>
      <c r="Q32" s="14" t="str">
        <f t="shared" si="34"/>
        <v/>
      </c>
      <c r="R32" s="14" t="str">
        <f t="shared" si="15"/>
        <v/>
      </c>
      <c r="S32" s="14" t="str">
        <f t="shared" si="16"/>
        <v/>
      </c>
      <c r="T32" s="14"/>
      <c r="U32" s="57" t="str">
        <f t="shared" ref="U32:U34" si="36">IF(S32="", "", IF(S33="", S32-L32-1-S34, S32-L32-1-S33))</f>
        <v/>
      </c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</row>
    <row r="33" ht="12.75" customHeight="1">
      <c r="A33" s="47"/>
      <c r="B33" s="47"/>
      <c r="C33" s="47"/>
      <c r="E33" s="54"/>
      <c r="F33" s="57"/>
      <c r="G33" s="57"/>
      <c r="H33" s="54"/>
      <c r="I33" s="57"/>
      <c r="J33" s="57"/>
      <c r="K33" s="54"/>
      <c r="L33" s="57"/>
      <c r="M33" s="14" t="str">
        <f t="shared" ref="M33:Q33" si="35">IF(F33="","", LOOKUP(F33, $G$157:$G$220, H$157:H$220))</f>
        <v/>
      </c>
      <c r="N33" s="14" t="str">
        <f t="shared" si="35"/>
        <v/>
      </c>
      <c r="O33" s="14" t="str">
        <f t="shared" si="35"/>
        <v/>
      </c>
      <c r="P33" s="14" t="str">
        <f t="shared" si="35"/>
        <v/>
      </c>
      <c r="Q33" s="14" t="str">
        <f t="shared" si="35"/>
        <v/>
      </c>
      <c r="R33" s="14" t="str">
        <f t="shared" si="15"/>
        <v/>
      </c>
      <c r="S33" s="14" t="str">
        <f t="shared" si="16"/>
        <v/>
      </c>
      <c r="T33" s="14"/>
      <c r="U33" s="57" t="str">
        <f t="shared" si="36"/>
        <v/>
      </c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</row>
    <row r="34" ht="12.75" customHeight="1">
      <c r="A34" s="47"/>
      <c r="B34" s="47"/>
      <c r="C34" s="47"/>
      <c r="D34" s="47" t="s">
        <v>35</v>
      </c>
      <c r="E34" s="55"/>
      <c r="F34" s="58"/>
      <c r="G34" s="58"/>
      <c r="H34" s="55"/>
      <c r="I34" s="58"/>
      <c r="J34" s="58"/>
      <c r="K34" s="55"/>
      <c r="L34" s="58"/>
      <c r="M34" s="14" t="str">
        <f t="shared" ref="M34:Q34" si="37">IF(F34="","", LOOKUP(F34, $G$157:$G$220, H$157:H$220))</f>
        <v/>
      </c>
      <c r="N34" s="14" t="str">
        <f t="shared" si="37"/>
        <v/>
      </c>
      <c r="O34" s="14" t="str">
        <f t="shared" si="37"/>
        <v/>
      </c>
      <c r="P34" s="14" t="str">
        <f t="shared" si="37"/>
        <v/>
      </c>
      <c r="Q34" s="14" t="str">
        <f t="shared" si="37"/>
        <v/>
      </c>
      <c r="R34" s="14" t="str">
        <f t="shared" si="15"/>
        <v/>
      </c>
      <c r="S34" s="14" t="str">
        <f t="shared" si="16"/>
        <v/>
      </c>
      <c r="T34" s="14"/>
      <c r="U34" s="58" t="str">
        <f t="shared" si="36"/>
        <v/>
      </c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</row>
    <row r="35" ht="12.75" customHeight="1">
      <c r="A35" s="47"/>
      <c r="B35" s="47"/>
      <c r="C35" s="47"/>
      <c r="D35" s="47" t="s">
        <v>22</v>
      </c>
      <c r="E35" s="56"/>
      <c r="F35" s="59"/>
      <c r="G35" s="59"/>
      <c r="H35" s="59"/>
      <c r="I35" s="59"/>
      <c r="J35" s="59"/>
      <c r="K35" s="56"/>
      <c r="L35" s="56"/>
      <c r="M35" s="14" t="str">
        <f t="shared" ref="M35:Q35" si="38">IF(F35="","", LOOKUP(F35, $G$157:$G$220, H$157:H$220))</f>
        <v/>
      </c>
      <c r="N35" s="14" t="str">
        <f t="shared" si="38"/>
        <v/>
      </c>
      <c r="O35" s="14" t="str">
        <f t="shared" si="38"/>
        <v/>
      </c>
      <c r="P35" s="14" t="str">
        <f t="shared" si="38"/>
        <v/>
      </c>
      <c r="Q35" s="14" t="str">
        <f t="shared" si="38"/>
        <v/>
      </c>
      <c r="R35" s="14" t="str">
        <f t="shared" si="15"/>
        <v/>
      </c>
      <c r="S35" s="14" t="str">
        <f t="shared" si="16"/>
        <v/>
      </c>
      <c r="T35" s="14"/>
      <c r="U35" s="59" t="str">
        <f t="shared" ref="U35:U37" si="40">IF(S35="", "", S35-L35-1-S36)</f>
        <v/>
      </c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</row>
    <row r="36" ht="12.75" customHeight="1">
      <c r="A36" s="14"/>
      <c r="B36" s="14"/>
      <c r="C36" s="14"/>
      <c r="D36" s="14"/>
      <c r="E36" s="56"/>
      <c r="F36" s="59"/>
      <c r="G36" s="59"/>
      <c r="H36" s="59"/>
      <c r="I36" s="59"/>
      <c r="J36" s="59"/>
      <c r="K36" s="56"/>
      <c r="L36" s="61"/>
      <c r="M36" s="14" t="str">
        <f t="shared" ref="M36:Q36" si="39">IF(F36="","", LOOKUP(F36, $G$157:$G$220, H$157:H$220))</f>
        <v/>
      </c>
      <c r="N36" s="14" t="str">
        <f t="shared" si="39"/>
        <v/>
      </c>
      <c r="O36" s="14" t="str">
        <f t="shared" si="39"/>
        <v/>
      </c>
      <c r="P36" s="14" t="str">
        <f t="shared" si="39"/>
        <v/>
      </c>
      <c r="Q36" s="14" t="str">
        <f t="shared" si="39"/>
        <v/>
      </c>
      <c r="R36" s="14" t="str">
        <f t="shared" si="15"/>
        <v/>
      </c>
      <c r="S36" s="14" t="str">
        <f t="shared" si="16"/>
        <v/>
      </c>
      <c r="T36" s="14"/>
      <c r="U36" s="59" t="str">
        <f t="shared" si="40"/>
        <v/>
      </c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</row>
    <row r="37" ht="12.75" customHeight="1">
      <c r="A37" s="14"/>
      <c r="B37" s="14"/>
      <c r="C37" s="14"/>
      <c r="D37" s="14"/>
      <c r="E37" s="47"/>
      <c r="F37" s="14"/>
      <c r="G37" s="14"/>
      <c r="H37" s="14"/>
      <c r="I37" s="14"/>
      <c r="J37" s="14"/>
      <c r="K37" s="47"/>
      <c r="L37" s="14"/>
      <c r="M37" s="14" t="str">
        <f t="shared" ref="M37:Q37" si="41">IF(F37="","", LOOKUP(F37, $G$157:$G$220, H$157:H$220))</f>
        <v/>
      </c>
      <c r="N37" s="14" t="str">
        <f t="shared" si="41"/>
        <v/>
      </c>
      <c r="O37" s="14" t="str">
        <f t="shared" si="41"/>
        <v/>
      </c>
      <c r="P37" s="14" t="str">
        <f t="shared" si="41"/>
        <v/>
      </c>
      <c r="Q37" s="14" t="str">
        <f t="shared" si="41"/>
        <v/>
      </c>
      <c r="R37" s="14" t="str">
        <f t="shared" si="15"/>
        <v/>
      </c>
      <c r="S37" s="14" t="str">
        <f t="shared" si="16"/>
        <v/>
      </c>
      <c r="T37" s="14"/>
      <c r="U37" s="14" t="str">
        <f t="shared" si="40"/>
        <v/>
      </c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</row>
    <row r="38" ht="12.75" customHeight="1">
      <c r="A38" s="47"/>
      <c r="B38" s="47"/>
      <c r="C38" s="47"/>
      <c r="D38" s="47" t="s">
        <v>19</v>
      </c>
      <c r="E38" s="49">
        <v>5.0</v>
      </c>
      <c r="F38" s="49"/>
      <c r="G38" s="53"/>
      <c r="H38" s="53"/>
      <c r="I38" s="53"/>
      <c r="J38" s="53"/>
      <c r="K38" s="53"/>
      <c r="L38" s="53"/>
      <c r="M38" s="14" t="str">
        <f t="shared" ref="M38:Q38" si="42">IF(F38="","", LOOKUP(F38, $G$157:$G$220, H$157:H$220))</f>
        <v/>
      </c>
      <c r="N38" s="14" t="str">
        <f t="shared" si="42"/>
        <v/>
      </c>
      <c r="O38" s="14" t="str">
        <f t="shared" si="42"/>
        <v/>
      </c>
      <c r="P38" s="14" t="str">
        <f t="shared" si="42"/>
        <v/>
      </c>
      <c r="Q38" s="14" t="str">
        <f t="shared" si="42"/>
        <v/>
      </c>
      <c r="R38" s="14" t="str">
        <f t="shared" si="15"/>
        <v/>
      </c>
      <c r="S38" s="14" t="str">
        <f t="shared" si="16"/>
        <v/>
      </c>
      <c r="T38" s="14"/>
      <c r="U38" s="53" t="str">
        <f>IF(S38="", "", IF(S39="", IF(S40="",S38-L38-1-S41, S38-L38-1-S40), S38-L38-1-S39))</f>
        <v/>
      </c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</row>
    <row r="39" ht="12.75" customHeight="1">
      <c r="A39" s="47"/>
      <c r="B39" s="47"/>
      <c r="C39" s="47"/>
      <c r="D39" s="47" t="s">
        <v>33</v>
      </c>
      <c r="E39" s="54"/>
      <c r="F39" s="57"/>
      <c r="G39" s="54"/>
      <c r="H39" s="57"/>
      <c r="I39" s="57"/>
      <c r="J39" s="57"/>
      <c r="K39" s="57"/>
      <c r="L39" s="57"/>
      <c r="M39" s="14" t="str">
        <f t="shared" ref="M39:Q39" si="43">IF(F39="","", LOOKUP(F39, $G$157:$G$220, H$157:H$220))</f>
        <v/>
      </c>
      <c r="N39" s="14" t="str">
        <f t="shared" si="43"/>
        <v/>
      </c>
      <c r="O39" s="14" t="str">
        <f t="shared" si="43"/>
        <v/>
      </c>
      <c r="P39" s="14" t="str">
        <f t="shared" si="43"/>
        <v/>
      </c>
      <c r="Q39" s="14" t="str">
        <f t="shared" si="43"/>
        <v/>
      </c>
      <c r="R39" s="14" t="str">
        <f t="shared" si="15"/>
        <v/>
      </c>
      <c r="S39" s="14" t="str">
        <f t="shared" si="16"/>
        <v/>
      </c>
      <c r="T39" s="14"/>
      <c r="U39" s="57" t="str">
        <f t="shared" ref="U39:U41" si="45">IF(S39="", "", IF(S40="", S39-L39-1-S41, S39-L39-1-S40))</f>
        <v/>
      </c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</row>
    <row r="40" ht="12.75" customHeight="1">
      <c r="A40" s="47"/>
      <c r="B40" s="47"/>
      <c r="C40" s="47"/>
      <c r="E40" s="54"/>
      <c r="F40" s="57"/>
      <c r="G40" s="54"/>
      <c r="H40" s="57"/>
      <c r="I40" s="57"/>
      <c r="J40" s="57"/>
      <c r="K40" s="54"/>
      <c r="L40" s="57"/>
      <c r="M40" s="14" t="str">
        <f t="shared" ref="M40:Q40" si="44">IF(F40="","", LOOKUP(F40, $G$157:$G$220, H$157:H$220))</f>
        <v/>
      </c>
      <c r="N40" s="14" t="str">
        <f t="shared" si="44"/>
        <v/>
      </c>
      <c r="O40" s="14" t="str">
        <f t="shared" si="44"/>
        <v/>
      </c>
      <c r="P40" s="14" t="str">
        <f t="shared" si="44"/>
        <v/>
      </c>
      <c r="Q40" s="14" t="str">
        <f t="shared" si="44"/>
        <v/>
      </c>
      <c r="R40" s="14" t="str">
        <f t="shared" si="15"/>
        <v/>
      </c>
      <c r="S40" s="14" t="str">
        <f t="shared" si="16"/>
        <v/>
      </c>
      <c r="T40" s="14"/>
      <c r="U40" s="57" t="str">
        <f t="shared" si="45"/>
        <v/>
      </c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</row>
    <row r="41" ht="12.75" customHeight="1">
      <c r="A41" s="47"/>
      <c r="B41" s="47"/>
      <c r="C41" s="47"/>
      <c r="D41" s="47" t="s">
        <v>35</v>
      </c>
      <c r="E41" s="55"/>
      <c r="F41" s="58"/>
      <c r="G41" s="55"/>
      <c r="H41" s="58"/>
      <c r="I41" s="58"/>
      <c r="J41" s="58"/>
      <c r="K41" s="55"/>
      <c r="L41" s="58"/>
      <c r="M41" s="14" t="str">
        <f t="shared" ref="M41:Q41" si="46">IF(F41="","", LOOKUP(F41, $G$157:$G$220, H$157:H$220))</f>
        <v/>
      </c>
      <c r="N41" s="14" t="str">
        <f t="shared" si="46"/>
        <v/>
      </c>
      <c r="O41" s="14" t="str">
        <f t="shared" si="46"/>
        <v/>
      </c>
      <c r="P41" s="14" t="str">
        <f t="shared" si="46"/>
        <v/>
      </c>
      <c r="Q41" s="14" t="str">
        <f t="shared" si="46"/>
        <v/>
      </c>
      <c r="R41" s="14" t="str">
        <f t="shared" si="15"/>
        <v/>
      </c>
      <c r="S41" s="14" t="str">
        <f t="shared" si="16"/>
        <v/>
      </c>
      <c r="T41" s="14"/>
      <c r="U41" s="58" t="str">
        <f t="shared" si="45"/>
        <v/>
      </c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</row>
    <row r="42" ht="12.75" customHeight="1">
      <c r="A42" s="47"/>
      <c r="B42" s="47"/>
      <c r="C42" s="47"/>
      <c r="D42" s="47" t="s">
        <v>22</v>
      </c>
      <c r="E42" s="56"/>
      <c r="F42" s="59"/>
      <c r="G42" s="59"/>
      <c r="H42" s="59"/>
      <c r="I42" s="59"/>
      <c r="J42" s="59"/>
      <c r="K42" s="56"/>
      <c r="L42" s="59"/>
      <c r="M42" s="14" t="str">
        <f t="shared" ref="M42:Q42" si="47">IF(F42="","", LOOKUP(F42, $G$157:$G$220, H$157:H$220))</f>
        <v/>
      </c>
      <c r="N42" s="14" t="str">
        <f t="shared" si="47"/>
        <v/>
      </c>
      <c r="O42" s="14" t="str">
        <f t="shared" si="47"/>
        <v/>
      </c>
      <c r="P42" s="14" t="str">
        <f t="shared" si="47"/>
        <v/>
      </c>
      <c r="Q42" s="14" t="str">
        <f t="shared" si="47"/>
        <v/>
      </c>
      <c r="R42" s="14" t="str">
        <f t="shared" si="15"/>
        <v/>
      </c>
      <c r="S42" s="14" t="str">
        <f t="shared" si="16"/>
        <v/>
      </c>
      <c r="T42" s="14"/>
      <c r="U42" s="59" t="str">
        <f t="shared" ref="U42:U44" si="49">IF(S42="", "", S42-L42-1-S43)</f>
        <v/>
      </c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</row>
    <row r="43" ht="12.75" customHeight="1">
      <c r="A43" s="14"/>
      <c r="B43" s="14"/>
      <c r="C43" s="14"/>
      <c r="D43" s="14"/>
      <c r="E43" s="56"/>
      <c r="F43" s="59"/>
      <c r="G43" s="59"/>
      <c r="H43" s="59"/>
      <c r="I43" s="59"/>
      <c r="J43" s="59"/>
      <c r="K43" s="56"/>
      <c r="L43" s="60"/>
      <c r="M43" s="14" t="str">
        <f t="shared" ref="M43:Q43" si="48">IF(F43="","", LOOKUP(F43, $G$157:$G$220, H$157:H$220))</f>
        <v/>
      </c>
      <c r="N43" s="14" t="str">
        <f t="shared" si="48"/>
        <v/>
      </c>
      <c r="O43" s="14" t="str">
        <f t="shared" si="48"/>
        <v/>
      </c>
      <c r="P43" s="14" t="str">
        <f t="shared" si="48"/>
        <v/>
      </c>
      <c r="Q43" s="14" t="str">
        <f t="shared" si="48"/>
        <v/>
      </c>
      <c r="R43" s="14" t="str">
        <f t="shared" si="15"/>
        <v/>
      </c>
      <c r="S43" s="14" t="str">
        <f t="shared" si="16"/>
        <v/>
      </c>
      <c r="T43" s="14"/>
      <c r="U43" s="59" t="str">
        <f t="shared" si="49"/>
        <v/>
      </c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</row>
    <row r="44" ht="12.75" customHeight="1">
      <c r="A44" s="14"/>
      <c r="B44" s="14"/>
      <c r="C44" s="14"/>
      <c r="D44" s="14"/>
      <c r="E44" s="47"/>
      <c r="F44" s="14"/>
      <c r="G44" s="14"/>
      <c r="H44" s="14"/>
      <c r="I44" s="14"/>
      <c r="J44" s="14"/>
      <c r="K44" s="14"/>
      <c r="L44" s="14"/>
      <c r="M44" s="14" t="str">
        <f t="shared" ref="M44:Q44" si="50">IF(F44="","", LOOKUP(F44, $G$157:$G$220, H$157:H$220))</f>
        <v/>
      </c>
      <c r="N44" s="14" t="str">
        <f t="shared" si="50"/>
        <v/>
      </c>
      <c r="O44" s="14" t="str">
        <f t="shared" si="50"/>
        <v/>
      </c>
      <c r="P44" s="14" t="str">
        <f t="shared" si="50"/>
        <v/>
      </c>
      <c r="Q44" s="14" t="str">
        <f t="shared" si="50"/>
        <v/>
      </c>
      <c r="R44" s="14" t="str">
        <f t="shared" si="15"/>
        <v/>
      </c>
      <c r="S44" s="14" t="str">
        <f t="shared" si="16"/>
        <v/>
      </c>
      <c r="T44" s="14"/>
      <c r="U44" s="14" t="str">
        <f t="shared" si="49"/>
        <v/>
      </c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</row>
    <row r="45" ht="12.75" customHeight="1">
      <c r="A45" s="47"/>
      <c r="B45" s="47"/>
      <c r="C45" s="47"/>
      <c r="D45" s="47" t="s">
        <v>19</v>
      </c>
      <c r="E45" s="49">
        <v>6.0</v>
      </c>
      <c r="F45" s="49"/>
      <c r="G45" s="53"/>
      <c r="H45" s="53"/>
      <c r="I45" s="53"/>
      <c r="J45" s="53"/>
      <c r="K45" s="53"/>
      <c r="L45" s="53"/>
      <c r="M45" s="14" t="str">
        <f t="shared" ref="M45:Q45" si="51">IF(F45="","", LOOKUP(F45, $G$157:$G$220, H$157:H$220))</f>
        <v/>
      </c>
      <c r="N45" s="14" t="str">
        <f t="shared" si="51"/>
        <v/>
      </c>
      <c r="O45" s="14" t="str">
        <f t="shared" si="51"/>
        <v/>
      </c>
      <c r="P45" s="14" t="str">
        <f t="shared" si="51"/>
        <v/>
      </c>
      <c r="Q45" s="14" t="str">
        <f t="shared" si="51"/>
        <v/>
      </c>
      <c r="R45" s="14" t="str">
        <f t="shared" si="15"/>
        <v/>
      </c>
      <c r="S45" s="14" t="str">
        <f t="shared" si="16"/>
        <v/>
      </c>
      <c r="T45" s="14"/>
      <c r="U45" s="53" t="str">
        <f>IF(S45="", "", IF(S46="", IF(S47="",S45-L45-1-S48, S45-L45-1-S47), S45-L45-1-S46))</f>
        <v/>
      </c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</row>
    <row r="46" ht="12.75" customHeight="1">
      <c r="A46" s="47"/>
      <c r="B46" s="47"/>
      <c r="C46" s="47"/>
      <c r="D46" s="47" t="s">
        <v>33</v>
      </c>
      <c r="E46" s="54"/>
      <c r="F46" s="57"/>
      <c r="G46" s="57"/>
      <c r="H46" s="54"/>
      <c r="I46" s="57"/>
      <c r="J46" s="57"/>
      <c r="K46" s="57"/>
      <c r="L46" s="57"/>
      <c r="M46" s="14" t="str">
        <f t="shared" ref="M46:Q46" si="52">IF(F46="","", LOOKUP(F46, $G$157:$G$220, H$157:H$220))</f>
        <v/>
      </c>
      <c r="N46" s="14" t="str">
        <f t="shared" si="52"/>
        <v/>
      </c>
      <c r="O46" s="14" t="str">
        <f t="shared" si="52"/>
        <v/>
      </c>
      <c r="P46" s="14" t="str">
        <f t="shared" si="52"/>
        <v/>
      </c>
      <c r="Q46" s="14" t="str">
        <f t="shared" si="52"/>
        <v/>
      </c>
      <c r="R46" s="14" t="str">
        <f t="shared" si="15"/>
        <v/>
      </c>
      <c r="S46" s="14" t="str">
        <f t="shared" si="16"/>
        <v/>
      </c>
      <c r="T46" s="14"/>
      <c r="U46" s="57" t="str">
        <f t="shared" ref="U46:U48" si="54">IF(S46="", "", IF(S47="", S46-L46-1-S48, S46-L46-1-S47))</f>
        <v/>
      </c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</row>
    <row r="47" ht="12.75" customHeight="1">
      <c r="A47" s="47"/>
      <c r="B47" s="47"/>
      <c r="C47" s="47"/>
      <c r="E47" s="54"/>
      <c r="F47" s="57"/>
      <c r="G47" s="57"/>
      <c r="H47" s="54"/>
      <c r="I47" s="57"/>
      <c r="J47" s="57"/>
      <c r="K47" s="54"/>
      <c r="L47" s="57"/>
      <c r="M47" s="14" t="str">
        <f t="shared" ref="M47:Q47" si="53">IF(F47="","", LOOKUP(F47, $G$157:$G$220, H$157:H$220))</f>
        <v/>
      </c>
      <c r="N47" s="14" t="str">
        <f t="shared" si="53"/>
        <v/>
      </c>
      <c r="O47" s="14" t="str">
        <f t="shared" si="53"/>
        <v/>
      </c>
      <c r="P47" s="14" t="str">
        <f t="shared" si="53"/>
        <v/>
      </c>
      <c r="Q47" s="14" t="str">
        <f t="shared" si="53"/>
        <v/>
      </c>
      <c r="R47" s="14" t="str">
        <f t="shared" si="15"/>
        <v/>
      </c>
      <c r="S47" s="14" t="str">
        <f t="shared" si="16"/>
        <v/>
      </c>
      <c r="T47" s="14"/>
      <c r="U47" s="57" t="str">
        <f t="shared" si="54"/>
        <v/>
      </c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</row>
    <row r="48" ht="12.75" customHeight="1">
      <c r="A48" s="47"/>
      <c r="B48" s="47"/>
      <c r="C48" s="47"/>
      <c r="D48" s="47" t="s">
        <v>35</v>
      </c>
      <c r="E48" s="55"/>
      <c r="F48" s="58"/>
      <c r="G48" s="58"/>
      <c r="H48" s="58"/>
      <c r="I48" s="58"/>
      <c r="J48" s="58"/>
      <c r="K48" s="55"/>
      <c r="L48" s="58"/>
      <c r="M48" s="14" t="str">
        <f t="shared" ref="M48:Q48" si="55">IF(F48="","", LOOKUP(F48, $G$157:$G$220, H$157:H$220))</f>
        <v/>
      </c>
      <c r="N48" s="14" t="str">
        <f t="shared" si="55"/>
        <v/>
      </c>
      <c r="O48" s="14" t="str">
        <f t="shared" si="55"/>
        <v/>
      </c>
      <c r="P48" s="14" t="str">
        <f t="shared" si="55"/>
        <v/>
      </c>
      <c r="Q48" s="14" t="str">
        <f t="shared" si="55"/>
        <v/>
      </c>
      <c r="R48" s="14" t="str">
        <f t="shared" si="15"/>
        <v/>
      </c>
      <c r="S48" s="14" t="str">
        <f t="shared" si="16"/>
        <v/>
      </c>
      <c r="T48" s="14"/>
      <c r="U48" s="58" t="str">
        <f t="shared" si="54"/>
        <v/>
      </c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</row>
    <row r="49" ht="12.75" customHeight="1">
      <c r="A49" s="47"/>
      <c r="B49" s="47"/>
      <c r="C49" s="47"/>
      <c r="D49" s="47" t="s">
        <v>22</v>
      </c>
      <c r="E49" s="59"/>
      <c r="F49" s="59"/>
      <c r="G49" s="59"/>
      <c r="H49" s="59"/>
      <c r="I49" s="59"/>
      <c r="J49" s="59"/>
      <c r="K49" s="56"/>
      <c r="L49" s="59"/>
      <c r="M49" s="14" t="str">
        <f t="shared" ref="M49:Q49" si="56">IF(F49="","", LOOKUP(F49, $G$157:$G$220, H$157:H$220))</f>
        <v/>
      </c>
      <c r="N49" s="14" t="str">
        <f t="shared" si="56"/>
        <v/>
      </c>
      <c r="O49" s="14" t="str">
        <f t="shared" si="56"/>
        <v/>
      </c>
      <c r="P49" s="14" t="str">
        <f t="shared" si="56"/>
        <v/>
      </c>
      <c r="Q49" s="14" t="str">
        <f t="shared" si="56"/>
        <v/>
      </c>
      <c r="R49" s="14" t="str">
        <f t="shared" si="15"/>
        <v/>
      </c>
      <c r="S49" s="14" t="str">
        <f t="shared" si="16"/>
        <v/>
      </c>
      <c r="T49" s="14"/>
      <c r="U49" s="59" t="str">
        <f t="shared" ref="U49:U51" si="58">IF(S49="", "", S49-L49-1-S50)</f>
        <v/>
      </c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</row>
    <row r="50" ht="12.75" customHeight="1">
      <c r="A50" s="14"/>
      <c r="B50" s="14"/>
      <c r="C50" s="14"/>
      <c r="D50" s="14"/>
      <c r="E50" s="59"/>
      <c r="F50" s="59"/>
      <c r="G50" s="59"/>
      <c r="H50" s="59"/>
      <c r="I50" s="59"/>
      <c r="J50" s="59"/>
      <c r="K50" s="56"/>
      <c r="L50" s="60"/>
      <c r="M50" s="14" t="str">
        <f t="shared" ref="M50:Q50" si="57">IF(F50="","", LOOKUP(F50, $G$157:$G$220, H$157:H$220))</f>
        <v/>
      </c>
      <c r="N50" s="14" t="str">
        <f t="shared" si="57"/>
        <v/>
      </c>
      <c r="O50" s="14" t="str">
        <f t="shared" si="57"/>
        <v/>
      </c>
      <c r="P50" s="14" t="str">
        <f t="shared" si="57"/>
        <v/>
      </c>
      <c r="Q50" s="14" t="str">
        <f t="shared" si="57"/>
        <v/>
      </c>
      <c r="R50" s="14" t="str">
        <f t="shared" si="15"/>
        <v/>
      </c>
      <c r="S50" s="14" t="str">
        <f t="shared" si="16"/>
        <v/>
      </c>
      <c r="T50" s="14"/>
      <c r="U50" s="59" t="str">
        <f t="shared" si="58"/>
        <v/>
      </c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</row>
    <row r="51" ht="12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47"/>
      <c r="L51" s="14"/>
      <c r="M51" s="14" t="str">
        <f t="shared" ref="M51:Q51" si="59">IF(F51="","", LOOKUP(F51, $G$157:$G$220, H$157:H$220))</f>
        <v/>
      </c>
      <c r="N51" s="14" t="str">
        <f t="shared" si="59"/>
        <v/>
      </c>
      <c r="O51" s="14" t="str">
        <f t="shared" si="59"/>
        <v/>
      </c>
      <c r="P51" s="14" t="str">
        <f t="shared" si="59"/>
        <v/>
      </c>
      <c r="Q51" s="14" t="str">
        <f t="shared" si="59"/>
        <v/>
      </c>
      <c r="R51" s="14" t="str">
        <f t="shared" si="15"/>
        <v/>
      </c>
      <c r="S51" s="14" t="str">
        <f t="shared" si="16"/>
        <v/>
      </c>
      <c r="T51" s="14"/>
      <c r="U51" s="14" t="str">
        <f t="shared" si="58"/>
        <v/>
      </c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</row>
    <row r="52" ht="12.75" customHeight="1">
      <c r="A52" s="47"/>
      <c r="B52" s="47"/>
      <c r="C52" s="47"/>
      <c r="D52" s="47" t="s">
        <v>19</v>
      </c>
      <c r="E52" s="49">
        <v>7.0</v>
      </c>
      <c r="F52" s="49"/>
      <c r="G52" s="53"/>
      <c r="H52" s="53"/>
      <c r="I52" s="53"/>
      <c r="J52" s="53"/>
      <c r="K52" s="53"/>
      <c r="L52" s="49"/>
      <c r="M52" s="14" t="str">
        <f t="shared" ref="M52:Q52" si="60">IF(F52="","", LOOKUP(F52, $G$157:$G$220, H$157:H$220))</f>
        <v/>
      </c>
      <c r="N52" s="14" t="str">
        <f t="shared" si="60"/>
        <v/>
      </c>
      <c r="O52" s="14" t="str">
        <f t="shared" si="60"/>
        <v/>
      </c>
      <c r="P52" s="14" t="str">
        <f t="shared" si="60"/>
        <v/>
      </c>
      <c r="Q52" s="14" t="str">
        <f t="shared" si="60"/>
        <v/>
      </c>
      <c r="R52" s="14" t="str">
        <f t="shared" si="15"/>
        <v/>
      </c>
      <c r="S52" s="14" t="str">
        <f t="shared" si="16"/>
        <v/>
      </c>
      <c r="T52" s="14"/>
      <c r="U52" s="53" t="str">
        <f>IF(S52="", "", IF(S53="", IF(S54="",S52-L52-1-S55, S52-L52-1-S54), S52-L52-1-S53))</f>
        <v/>
      </c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</row>
    <row r="53" ht="12.75" customHeight="1">
      <c r="A53" s="47"/>
      <c r="B53" s="47"/>
      <c r="C53" s="47"/>
      <c r="D53" s="47" t="s">
        <v>33</v>
      </c>
      <c r="E53" s="54"/>
      <c r="F53" s="57"/>
      <c r="G53" s="57"/>
      <c r="H53" s="57"/>
      <c r="I53" s="57"/>
      <c r="J53" s="54"/>
      <c r="K53" s="57"/>
      <c r="L53" s="57"/>
      <c r="M53" s="14" t="str">
        <f t="shared" ref="M53:Q53" si="61">IF(F53="","", LOOKUP(F53, $G$157:$G$220, H$157:H$220))</f>
        <v/>
      </c>
      <c r="N53" s="14" t="str">
        <f t="shared" si="61"/>
        <v/>
      </c>
      <c r="O53" s="14" t="str">
        <f t="shared" si="61"/>
        <v/>
      </c>
      <c r="P53" s="14" t="str">
        <f t="shared" si="61"/>
        <v/>
      </c>
      <c r="Q53" s="14" t="str">
        <f t="shared" si="61"/>
        <v/>
      </c>
      <c r="R53" s="14" t="str">
        <f t="shared" si="15"/>
        <v/>
      </c>
      <c r="S53" s="14" t="str">
        <f t="shared" si="16"/>
        <v/>
      </c>
      <c r="T53" s="14"/>
      <c r="U53" s="57" t="str">
        <f t="shared" ref="U53:U55" si="63">IF(S53="", "", IF(S54="", S53-L53-1-S55, S53-L53-1-S54))</f>
        <v/>
      </c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</row>
    <row r="54" ht="12.75" customHeight="1">
      <c r="A54" s="47"/>
      <c r="B54" s="47"/>
      <c r="C54" s="47"/>
      <c r="E54" s="54"/>
      <c r="F54" s="57"/>
      <c r="G54" s="54"/>
      <c r="H54" s="57"/>
      <c r="I54" s="57"/>
      <c r="J54" s="54"/>
      <c r="K54" s="57"/>
      <c r="L54" s="57"/>
      <c r="M54" s="14" t="str">
        <f t="shared" ref="M54:Q54" si="62">IF(F54="","", LOOKUP(F54, $G$157:$G$220, H$157:H$220))</f>
        <v/>
      </c>
      <c r="N54" s="14" t="str">
        <f t="shared" si="62"/>
        <v/>
      </c>
      <c r="O54" s="14" t="str">
        <f t="shared" si="62"/>
        <v/>
      </c>
      <c r="P54" s="14" t="str">
        <f t="shared" si="62"/>
        <v/>
      </c>
      <c r="Q54" s="14" t="str">
        <f t="shared" si="62"/>
        <v/>
      </c>
      <c r="R54" s="14" t="str">
        <f t="shared" si="15"/>
        <v/>
      </c>
      <c r="S54" s="14" t="str">
        <f t="shared" si="16"/>
        <v/>
      </c>
      <c r="T54" s="14"/>
      <c r="U54" s="57" t="str">
        <f t="shared" si="63"/>
        <v/>
      </c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</row>
    <row r="55" ht="12.75" customHeight="1">
      <c r="A55" s="47"/>
      <c r="B55" s="47"/>
      <c r="C55" s="47"/>
      <c r="D55" s="47" t="s">
        <v>35</v>
      </c>
      <c r="E55" s="55"/>
      <c r="F55" s="58"/>
      <c r="G55" s="55"/>
      <c r="H55" s="58"/>
      <c r="I55" s="58"/>
      <c r="J55" s="58"/>
      <c r="K55" s="55"/>
      <c r="L55" s="58"/>
      <c r="M55" s="14" t="str">
        <f t="shared" ref="M55:Q55" si="64">IF(F55="","", LOOKUP(F55, $G$157:$G$220, H$157:H$220))</f>
        <v/>
      </c>
      <c r="N55" s="14" t="str">
        <f t="shared" si="64"/>
        <v/>
      </c>
      <c r="O55" s="14" t="str">
        <f t="shared" si="64"/>
        <v/>
      </c>
      <c r="P55" s="14" t="str">
        <f t="shared" si="64"/>
        <v/>
      </c>
      <c r="Q55" s="14" t="str">
        <f t="shared" si="64"/>
        <v/>
      </c>
      <c r="R55" s="14" t="str">
        <f t="shared" si="15"/>
        <v/>
      </c>
      <c r="S55" s="14" t="str">
        <f t="shared" si="16"/>
        <v/>
      </c>
      <c r="T55" s="14"/>
      <c r="U55" s="58" t="str">
        <f t="shared" si="63"/>
        <v/>
      </c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</row>
    <row r="56" ht="12.75" customHeight="1">
      <c r="A56" s="47"/>
      <c r="B56" s="47"/>
      <c r="C56" s="47"/>
      <c r="D56" s="47" t="s">
        <v>22</v>
      </c>
      <c r="E56" s="56"/>
      <c r="F56" s="59"/>
      <c r="G56" s="59"/>
      <c r="H56" s="59"/>
      <c r="I56" s="59"/>
      <c r="J56" s="59"/>
      <c r="K56" s="56"/>
      <c r="L56" s="59"/>
      <c r="M56" s="14" t="str">
        <f t="shared" ref="M56:Q56" si="65">IF(F56="","", LOOKUP(F56, $G$157:$G$220, H$157:H$220))</f>
        <v/>
      </c>
      <c r="N56" s="14" t="str">
        <f t="shared" si="65"/>
        <v/>
      </c>
      <c r="O56" s="14" t="str">
        <f t="shared" si="65"/>
        <v/>
      </c>
      <c r="P56" s="14" t="str">
        <f t="shared" si="65"/>
        <v/>
      </c>
      <c r="Q56" s="14" t="str">
        <f t="shared" si="65"/>
        <v/>
      </c>
      <c r="R56" s="14" t="str">
        <f t="shared" si="15"/>
        <v/>
      </c>
      <c r="S56" s="14" t="str">
        <f t="shared" si="16"/>
        <v/>
      </c>
      <c r="T56" s="14"/>
      <c r="U56" s="59" t="str">
        <f t="shared" ref="U56:U58" si="67">IF(S56="", "", S56-L56-1-S57)</f>
        <v/>
      </c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</row>
    <row r="57" ht="12.75" customHeight="1">
      <c r="A57" s="14"/>
      <c r="B57" s="14"/>
      <c r="C57" s="14"/>
      <c r="D57" s="14"/>
      <c r="E57" s="56"/>
      <c r="F57" s="59"/>
      <c r="G57" s="59"/>
      <c r="H57" s="59"/>
      <c r="I57" s="59"/>
      <c r="J57" s="59"/>
      <c r="K57" s="56"/>
      <c r="L57" s="60"/>
      <c r="M57" s="14" t="str">
        <f t="shared" ref="M57:Q57" si="66">IF(F57="","", LOOKUP(F57, $G$157:$G$220, H$157:H$220))</f>
        <v/>
      </c>
      <c r="N57" s="14" t="str">
        <f t="shared" si="66"/>
        <v/>
      </c>
      <c r="O57" s="14" t="str">
        <f t="shared" si="66"/>
        <v/>
      </c>
      <c r="P57" s="14" t="str">
        <f t="shared" si="66"/>
        <v/>
      </c>
      <c r="Q57" s="14" t="str">
        <f t="shared" si="66"/>
        <v/>
      </c>
      <c r="R57" s="14" t="str">
        <f t="shared" si="15"/>
        <v/>
      </c>
      <c r="S57" s="14" t="str">
        <f t="shared" si="16"/>
        <v/>
      </c>
      <c r="T57" s="14"/>
      <c r="U57" s="59" t="str">
        <f t="shared" si="67"/>
        <v/>
      </c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</row>
    <row r="58" ht="12.75" customHeight="1">
      <c r="A58" s="14"/>
      <c r="B58" s="14"/>
      <c r="C58" s="14"/>
      <c r="D58" s="14"/>
      <c r="E58" s="47"/>
      <c r="F58" s="14"/>
      <c r="G58" s="14"/>
      <c r="H58" s="14"/>
      <c r="I58" s="14"/>
      <c r="J58" s="14"/>
      <c r="K58" s="14"/>
      <c r="L58" s="14"/>
      <c r="M58" s="14" t="str">
        <f t="shared" ref="M58:Q58" si="68">IF(F58="","", LOOKUP(F58, $G$157:$G$220, H$157:H$220))</f>
        <v/>
      </c>
      <c r="N58" s="14" t="str">
        <f t="shared" si="68"/>
        <v/>
      </c>
      <c r="O58" s="14" t="str">
        <f t="shared" si="68"/>
        <v/>
      </c>
      <c r="P58" s="14" t="str">
        <f t="shared" si="68"/>
        <v/>
      </c>
      <c r="Q58" s="14" t="str">
        <f t="shared" si="68"/>
        <v/>
      </c>
      <c r="R58" s="14" t="str">
        <f t="shared" si="15"/>
        <v/>
      </c>
      <c r="S58" s="14" t="str">
        <f t="shared" si="16"/>
        <v/>
      </c>
      <c r="T58" s="14"/>
      <c r="U58" s="14" t="str">
        <f t="shared" si="67"/>
        <v/>
      </c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</row>
    <row r="59" ht="12.75" customHeight="1">
      <c r="A59" s="47"/>
      <c r="B59" s="47"/>
      <c r="C59" s="47"/>
      <c r="D59" s="47" t="s">
        <v>19</v>
      </c>
      <c r="E59" s="49">
        <v>8.0</v>
      </c>
      <c r="F59" s="49"/>
      <c r="G59" s="53"/>
      <c r="H59" s="53"/>
      <c r="I59" s="53"/>
      <c r="J59" s="53"/>
      <c r="K59" s="53"/>
      <c r="L59" s="53"/>
      <c r="M59" s="14" t="str">
        <f t="shared" ref="M59:Q59" si="69">IF(F59="","", LOOKUP(F59, $G$157:$G$220, H$157:H$220))</f>
        <v/>
      </c>
      <c r="N59" s="14" t="str">
        <f t="shared" si="69"/>
        <v/>
      </c>
      <c r="O59" s="14" t="str">
        <f t="shared" si="69"/>
        <v/>
      </c>
      <c r="P59" s="14" t="str">
        <f t="shared" si="69"/>
        <v/>
      </c>
      <c r="Q59" s="14" t="str">
        <f t="shared" si="69"/>
        <v/>
      </c>
      <c r="R59" s="14" t="str">
        <f t="shared" si="15"/>
        <v/>
      </c>
      <c r="S59" s="14" t="str">
        <f t="shared" si="16"/>
        <v/>
      </c>
      <c r="T59" s="14"/>
      <c r="U59" s="53" t="str">
        <f>IF(S59="", "", IF(S60="", IF(S61="",S59-L59-1-S62, S59-L59-1-S61), S59-L59-1-S60))</f>
        <v/>
      </c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</row>
    <row r="60" ht="12.75" customHeight="1">
      <c r="A60" s="47"/>
      <c r="B60" s="47"/>
      <c r="C60" s="47"/>
      <c r="D60" s="47" t="s">
        <v>33</v>
      </c>
      <c r="E60" s="54"/>
      <c r="F60" s="54"/>
      <c r="G60" s="57"/>
      <c r="H60" s="54"/>
      <c r="I60" s="57"/>
      <c r="J60" s="57"/>
      <c r="K60" s="57"/>
      <c r="L60" s="57"/>
      <c r="M60" s="14" t="str">
        <f t="shared" ref="M60:Q60" si="70">IF(F60="","", LOOKUP(F60, $G$157:$G$220, H$157:H$220))</f>
        <v/>
      </c>
      <c r="N60" s="14" t="str">
        <f t="shared" si="70"/>
        <v/>
      </c>
      <c r="O60" s="14" t="str">
        <f t="shared" si="70"/>
        <v/>
      </c>
      <c r="P60" s="14" t="str">
        <f t="shared" si="70"/>
        <v/>
      </c>
      <c r="Q60" s="14" t="str">
        <f t="shared" si="70"/>
        <v/>
      </c>
      <c r="R60" s="14" t="str">
        <f t="shared" si="15"/>
        <v/>
      </c>
      <c r="S60" s="14" t="str">
        <f t="shared" si="16"/>
        <v/>
      </c>
      <c r="T60" s="14"/>
      <c r="U60" s="57" t="str">
        <f t="shared" ref="U60:U62" si="72">IF(S60="", "", IF(S61="", S60-L60-1-S62, S60-L60-1-S61))</f>
        <v/>
      </c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</row>
    <row r="61" ht="12.75" customHeight="1">
      <c r="A61" s="47"/>
      <c r="B61" s="47"/>
      <c r="C61" s="47"/>
      <c r="E61" s="54"/>
      <c r="F61" s="54"/>
      <c r="G61" s="57"/>
      <c r="H61" s="57"/>
      <c r="I61" s="57"/>
      <c r="J61" s="57"/>
      <c r="K61" s="54"/>
      <c r="L61" s="57"/>
      <c r="M61" s="14" t="str">
        <f t="shared" ref="M61:Q61" si="71">IF(F61="","", LOOKUP(F61, $G$157:$G$220, H$157:H$220))</f>
        <v/>
      </c>
      <c r="N61" s="14" t="str">
        <f t="shared" si="71"/>
        <v/>
      </c>
      <c r="O61" s="14" t="str">
        <f t="shared" si="71"/>
        <v/>
      </c>
      <c r="P61" s="14" t="str">
        <f t="shared" si="71"/>
        <v/>
      </c>
      <c r="Q61" s="14" t="str">
        <f t="shared" si="71"/>
        <v/>
      </c>
      <c r="R61" s="14" t="str">
        <f t="shared" si="15"/>
        <v/>
      </c>
      <c r="S61" s="14" t="str">
        <f t="shared" si="16"/>
        <v/>
      </c>
      <c r="T61" s="14"/>
      <c r="U61" s="57" t="str">
        <f t="shared" si="72"/>
        <v/>
      </c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</row>
    <row r="62" ht="12.75" customHeight="1">
      <c r="A62" s="47"/>
      <c r="B62" s="47"/>
      <c r="C62" s="47"/>
      <c r="D62" s="47" t="s">
        <v>35</v>
      </c>
      <c r="E62" s="55"/>
      <c r="F62" s="58"/>
      <c r="G62" s="58"/>
      <c r="H62" s="55"/>
      <c r="I62" s="58"/>
      <c r="J62" s="58"/>
      <c r="K62" s="58"/>
      <c r="L62" s="58"/>
      <c r="M62" s="14" t="str">
        <f t="shared" ref="M62:Q62" si="73">IF(F62="","", LOOKUP(F62, $G$157:$G$220, H$157:H$220))</f>
        <v/>
      </c>
      <c r="N62" s="14" t="str">
        <f t="shared" si="73"/>
        <v/>
      </c>
      <c r="O62" s="14" t="str">
        <f t="shared" si="73"/>
        <v/>
      </c>
      <c r="P62" s="14" t="str">
        <f t="shared" si="73"/>
        <v/>
      </c>
      <c r="Q62" s="14" t="str">
        <f t="shared" si="73"/>
        <v/>
      </c>
      <c r="R62" s="14" t="str">
        <f t="shared" si="15"/>
        <v/>
      </c>
      <c r="S62" s="14" t="str">
        <f t="shared" si="16"/>
        <v/>
      </c>
      <c r="T62" s="14"/>
      <c r="U62" s="58" t="str">
        <f t="shared" si="72"/>
        <v/>
      </c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</row>
    <row r="63" ht="12.75" customHeight="1">
      <c r="A63" s="47"/>
      <c r="B63" s="47"/>
      <c r="C63" s="47"/>
      <c r="D63" s="47" t="s">
        <v>22</v>
      </c>
      <c r="E63" s="59"/>
      <c r="F63" s="59"/>
      <c r="G63" s="59"/>
      <c r="H63" s="59"/>
      <c r="I63" s="59"/>
      <c r="J63" s="59"/>
      <c r="K63" s="56"/>
      <c r="L63" s="59"/>
      <c r="M63" s="14" t="str">
        <f t="shared" ref="M63:Q63" si="74">IF(F63="","", LOOKUP(F63, $G$157:$G$220, H$157:H$220))</f>
        <v/>
      </c>
      <c r="N63" s="14" t="str">
        <f t="shared" si="74"/>
        <v/>
      </c>
      <c r="O63" s="14" t="str">
        <f t="shared" si="74"/>
        <v/>
      </c>
      <c r="P63" s="14" t="str">
        <f t="shared" si="74"/>
        <v/>
      </c>
      <c r="Q63" s="14" t="str">
        <f t="shared" si="74"/>
        <v/>
      </c>
      <c r="R63" s="14" t="str">
        <f t="shared" si="15"/>
        <v/>
      </c>
      <c r="S63" s="14" t="str">
        <f t="shared" si="16"/>
        <v/>
      </c>
      <c r="T63" s="14"/>
      <c r="U63" s="59" t="str">
        <f t="shared" ref="U63:U65" si="76">IF(S63="", "", S63-L63-1-S64)</f>
        <v/>
      </c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</row>
    <row r="64" ht="12.75" customHeight="1">
      <c r="A64" s="14"/>
      <c r="B64" s="14"/>
      <c r="C64" s="14"/>
      <c r="D64" s="14"/>
      <c r="E64" s="59"/>
      <c r="F64" s="59"/>
      <c r="G64" s="59"/>
      <c r="H64" s="59"/>
      <c r="I64" s="59"/>
      <c r="J64" s="59"/>
      <c r="K64" s="59"/>
      <c r="L64" s="60"/>
      <c r="M64" s="14" t="str">
        <f t="shared" ref="M64:Q64" si="75">IF(F64="","", LOOKUP(F64, $G$157:$G$220, H$157:H$220))</f>
        <v/>
      </c>
      <c r="N64" s="14" t="str">
        <f t="shared" si="75"/>
        <v/>
      </c>
      <c r="O64" s="14" t="str">
        <f t="shared" si="75"/>
        <v/>
      </c>
      <c r="P64" s="14" t="str">
        <f t="shared" si="75"/>
        <v/>
      </c>
      <c r="Q64" s="14" t="str">
        <f t="shared" si="75"/>
        <v/>
      </c>
      <c r="R64" s="14" t="str">
        <f t="shared" si="15"/>
        <v/>
      </c>
      <c r="S64" s="14" t="str">
        <f t="shared" si="16"/>
        <v/>
      </c>
      <c r="T64" s="14"/>
      <c r="U64" s="59" t="str">
        <f t="shared" si="76"/>
        <v/>
      </c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</row>
    <row r="65" ht="12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 t="str">
        <f t="shared" ref="M65:Q65" si="77">IF(F65="","", LOOKUP(F65, $G$157:$G$220, H$157:H$220))</f>
        <v/>
      </c>
      <c r="N65" s="14" t="str">
        <f t="shared" si="77"/>
        <v/>
      </c>
      <c r="O65" s="14" t="str">
        <f t="shared" si="77"/>
        <v/>
      </c>
      <c r="P65" s="14" t="str">
        <f t="shared" si="77"/>
        <v/>
      </c>
      <c r="Q65" s="14" t="str">
        <f t="shared" si="77"/>
        <v/>
      </c>
      <c r="R65" s="14" t="str">
        <f t="shared" si="15"/>
        <v/>
      </c>
      <c r="S65" s="14" t="str">
        <f t="shared" si="16"/>
        <v/>
      </c>
      <c r="T65" s="14"/>
      <c r="U65" s="14" t="str">
        <f t="shared" si="76"/>
        <v/>
      </c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</row>
    <row r="66" ht="12.75" customHeight="1">
      <c r="A66" s="47"/>
      <c r="B66" s="47"/>
      <c r="C66" s="47"/>
      <c r="D66" s="47" t="s">
        <v>19</v>
      </c>
      <c r="E66" s="49">
        <v>9.0</v>
      </c>
      <c r="F66" s="49"/>
      <c r="G66" s="53"/>
      <c r="H66" s="53"/>
      <c r="I66" s="53"/>
      <c r="J66" s="53"/>
      <c r="K66" s="53"/>
      <c r="L66" s="49"/>
      <c r="M66" s="14" t="str">
        <f t="shared" ref="M66:Q66" si="78">IF(F66="","", LOOKUP(F66, $G$157:$G$220, H$157:H$220))</f>
        <v/>
      </c>
      <c r="N66" s="14" t="str">
        <f t="shared" si="78"/>
        <v/>
      </c>
      <c r="O66" s="14" t="str">
        <f t="shared" si="78"/>
        <v/>
      </c>
      <c r="P66" s="14" t="str">
        <f t="shared" si="78"/>
        <v/>
      </c>
      <c r="Q66" s="14" t="str">
        <f t="shared" si="78"/>
        <v/>
      </c>
      <c r="R66" s="14" t="str">
        <f t="shared" si="15"/>
        <v/>
      </c>
      <c r="S66" s="14" t="str">
        <f t="shared" si="16"/>
        <v/>
      </c>
      <c r="T66" s="14"/>
      <c r="U66" s="53" t="str">
        <f>IF(S66="", "", IF(S67="", IF(S68="",S66-L66-1-S69, S66-L66-1-S68), S66-L66-1-S67))</f>
        <v/>
      </c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</row>
    <row r="67" ht="12.75" customHeight="1">
      <c r="A67" s="47"/>
      <c r="B67" s="47"/>
      <c r="C67" s="47"/>
      <c r="D67" s="47" t="s">
        <v>33</v>
      </c>
      <c r="E67" s="54"/>
      <c r="F67" s="57"/>
      <c r="G67" s="57"/>
      <c r="H67" s="54"/>
      <c r="I67" s="57"/>
      <c r="J67" s="57"/>
      <c r="K67" s="57"/>
      <c r="L67" s="57"/>
      <c r="M67" s="14" t="str">
        <f t="shared" ref="M67:Q67" si="79">IF(F67="","", LOOKUP(F67, $G$157:$G$220, H$157:H$220))</f>
        <v/>
      </c>
      <c r="N67" s="14" t="str">
        <f t="shared" si="79"/>
        <v/>
      </c>
      <c r="O67" s="14" t="str">
        <f t="shared" si="79"/>
        <v/>
      </c>
      <c r="P67" s="14" t="str">
        <f t="shared" si="79"/>
        <v/>
      </c>
      <c r="Q67" s="14" t="str">
        <f t="shared" si="79"/>
        <v/>
      </c>
      <c r="R67" s="14" t="str">
        <f t="shared" si="15"/>
        <v/>
      </c>
      <c r="S67" s="14" t="str">
        <f t="shared" si="16"/>
        <v/>
      </c>
      <c r="T67" s="14"/>
      <c r="U67" s="57" t="str">
        <f t="shared" ref="U67:U69" si="81">IF(S67="", "", IF(S68="", S67-L67-1-S69, S67-L67-1-S68))</f>
        <v/>
      </c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</row>
    <row r="68" ht="12.75" customHeight="1">
      <c r="A68" s="47"/>
      <c r="B68" s="47"/>
      <c r="C68" s="47"/>
      <c r="E68" s="54"/>
      <c r="F68" s="57"/>
      <c r="G68" s="57"/>
      <c r="H68" s="54"/>
      <c r="I68" s="57"/>
      <c r="J68" s="57"/>
      <c r="K68" s="57"/>
      <c r="L68" s="57"/>
      <c r="M68" s="14" t="str">
        <f t="shared" ref="M68:Q68" si="80">IF(F68="","", LOOKUP(F68, $G$157:$G$220, H$157:H$220))</f>
        <v/>
      </c>
      <c r="N68" s="14" t="str">
        <f t="shared" si="80"/>
        <v/>
      </c>
      <c r="O68" s="14" t="str">
        <f t="shared" si="80"/>
        <v/>
      </c>
      <c r="P68" s="14" t="str">
        <f t="shared" si="80"/>
        <v/>
      </c>
      <c r="Q68" s="14" t="str">
        <f t="shared" si="80"/>
        <v/>
      </c>
      <c r="R68" s="14" t="str">
        <f t="shared" si="15"/>
        <v/>
      </c>
      <c r="S68" s="14" t="str">
        <f t="shared" si="16"/>
        <v/>
      </c>
      <c r="T68" s="14"/>
      <c r="U68" s="57" t="str">
        <f t="shared" si="81"/>
        <v/>
      </c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</row>
    <row r="69" ht="12.75" customHeight="1">
      <c r="A69" s="47"/>
      <c r="B69" s="47"/>
      <c r="C69" s="47"/>
      <c r="D69" s="47" t="s">
        <v>35</v>
      </c>
      <c r="E69" s="55"/>
      <c r="F69" s="58"/>
      <c r="G69" s="58"/>
      <c r="H69" s="55"/>
      <c r="I69" s="58"/>
      <c r="J69" s="58"/>
      <c r="K69" s="55"/>
      <c r="L69" s="58"/>
      <c r="M69" s="14" t="str">
        <f t="shared" ref="M69:Q69" si="82">IF(F69="","", LOOKUP(F69, $G$157:$G$220, H$157:H$220))</f>
        <v/>
      </c>
      <c r="N69" s="14" t="str">
        <f t="shared" si="82"/>
        <v/>
      </c>
      <c r="O69" s="14" t="str">
        <f t="shared" si="82"/>
        <v/>
      </c>
      <c r="P69" s="14" t="str">
        <f t="shared" si="82"/>
        <v/>
      </c>
      <c r="Q69" s="14" t="str">
        <f t="shared" si="82"/>
        <v/>
      </c>
      <c r="R69" s="14" t="str">
        <f t="shared" si="15"/>
        <v/>
      </c>
      <c r="S69" s="14" t="str">
        <f t="shared" si="16"/>
        <v/>
      </c>
      <c r="T69" s="14"/>
      <c r="U69" s="58" t="str">
        <f t="shared" si="81"/>
        <v/>
      </c>
      <c r="V69" s="14"/>
      <c r="W69" s="14"/>
      <c r="X69" s="14"/>
      <c r="Y69" s="14"/>
      <c r="Z69" s="14"/>
      <c r="AA69" s="47" t="s">
        <v>2</v>
      </c>
      <c r="AB69" s="14"/>
      <c r="AC69" s="14"/>
      <c r="AD69" s="14"/>
      <c r="AE69" s="14"/>
      <c r="AF69" s="14"/>
      <c r="AG69" s="14"/>
    </row>
    <row r="70" ht="12.75" customHeight="1">
      <c r="A70" s="47"/>
      <c r="B70" s="47"/>
      <c r="C70" s="47"/>
      <c r="D70" s="47" t="s">
        <v>22</v>
      </c>
      <c r="E70" s="59"/>
      <c r="F70" s="59"/>
      <c r="G70" s="59"/>
      <c r="H70" s="59"/>
      <c r="I70" s="59"/>
      <c r="J70" s="59"/>
      <c r="K70" s="56"/>
      <c r="L70" s="59"/>
      <c r="M70" s="14" t="str">
        <f t="shared" ref="M70:Q70" si="83">IF(F70="","", LOOKUP(F70, $G$157:$G$220, H$157:H$220))</f>
        <v/>
      </c>
      <c r="N70" s="14" t="str">
        <f t="shared" si="83"/>
        <v/>
      </c>
      <c r="O70" s="14" t="str">
        <f t="shared" si="83"/>
        <v/>
      </c>
      <c r="P70" s="14" t="str">
        <f t="shared" si="83"/>
        <v/>
      </c>
      <c r="Q70" s="14" t="str">
        <f t="shared" si="83"/>
        <v/>
      </c>
      <c r="R70" s="14" t="str">
        <f t="shared" si="15"/>
        <v/>
      </c>
      <c r="S70" s="14" t="str">
        <f t="shared" si="16"/>
        <v/>
      </c>
      <c r="T70" s="14"/>
      <c r="U70" s="59" t="str">
        <f t="shared" ref="U70:U72" si="85">IF(S70="", "", S70-L70-1-S71)</f>
        <v/>
      </c>
      <c r="V70" s="14"/>
      <c r="W70" s="47"/>
      <c r="X70" s="14"/>
      <c r="Y70" s="14"/>
      <c r="Z70" s="14"/>
      <c r="AA70" s="14"/>
      <c r="AB70" s="14"/>
      <c r="AC70" s="14"/>
      <c r="AD70" s="14"/>
      <c r="AE70" s="14"/>
      <c r="AF70" s="14"/>
      <c r="AG70" s="14"/>
    </row>
    <row r="71" ht="12.75" customHeight="1">
      <c r="A71" s="14"/>
      <c r="B71" s="14"/>
      <c r="C71" s="14"/>
      <c r="D71" s="14"/>
      <c r="E71" s="59"/>
      <c r="F71" s="59"/>
      <c r="G71" s="59"/>
      <c r="H71" s="59"/>
      <c r="I71" s="59"/>
      <c r="J71" s="59"/>
      <c r="K71" s="59"/>
      <c r="L71" s="60"/>
      <c r="M71" s="14" t="str">
        <f t="shared" ref="M71:Q71" si="84">IF(F71="","", LOOKUP(F71, $G$157:$G$220, H$157:H$220))</f>
        <v/>
      </c>
      <c r="N71" s="14" t="str">
        <f t="shared" si="84"/>
        <v/>
      </c>
      <c r="O71" s="14" t="str">
        <f t="shared" si="84"/>
        <v/>
      </c>
      <c r="P71" s="14" t="str">
        <f t="shared" si="84"/>
        <v/>
      </c>
      <c r="Q71" s="14" t="str">
        <f t="shared" si="84"/>
        <v/>
      </c>
      <c r="R71" s="14" t="str">
        <f t="shared" si="15"/>
        <v/>
      </c>
      <c r="S71" s="14" t="str">
        <f t="shared" si="16"/>
        <v/>
      </c>
      <c r="T71" s="14"/>
      <c r="U71" s="59" t="str">
        <f t="shared" si="85"/>
        <v/>
      </c>
      <c r="V71" s="14"/>
      <c r="W71" s="47"/>
      <c r="X71" s="14"/>
      <c r="Y71" s="14"/>
      <c r="Z71" s="14"/>
      <c r="AA71" s="14"/>
      <c r="AB71" s="14"/>
      <c r="AC71" s="14"/>
      <c r="AD71" s="14"/>
      <c r="AE71" s="14"/>
      <c r="AF71" s="14"/>
      <c r="AG71" s="14"/>
    </row>
    <row r="72" ht="12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 t="str">
        <f t="shared" ref="M72:Q72" si="86">IF(F72="","", LOOKUP(F72, $G$157:$G$220, H$157:H$220))</f>
        <v/>
      </c>
      <c r="N72" s="14" t="str">
        <f t="shared" si="86"/>
        <v/>
      </c>
      <c r="O72" s="14" t="str">
        <f t="shared" si="86"/>
        <v/>
      </c>
      <c r="P72" s="14" t="str">
        <f t="shared" si="86"/>
        <v/>
      </c>
      <c r="Q72" s="14" t="str">
        <f t="shared" si="86"/>
        <v/>
      </c>
      <c r="R72" s="14" t="str">
        <f t="shared" si="15"/>
        <v/>
      </c>
      <c r="S72" s="14" t="str">
        <f t="shared" si="16"/>
        <v/>
      </c>
      <c r="T72" s="14"/>
      <c r="U72" s="14" t="str">
        <f t="shared" si="85"/>
        <v/>
      </c>
      <c r="V72" s="14"/>
      <c r="W72" s="47" t="s">
        <v>12</v>
      </c>
      <c r="X72" s="14"/>
      <c r="Y72" s="14"/>
      <c r="Z72" s="14"/>
      <c r="AA72" s="14"/>
      <c r="AB72" s="14"/>
      <c r="AC72" s="14"/>
      <c r="AD72" s="14"/>
      <c r="AE72" s="14"/>
      <c r="AF72" s="14"/>
      <c r="AG72" s="14"/>
    </row>
    <row r="73" ht="12.75" customHeight="1">
      <c r="A73" s="47"/>
      <c r="B73" s="47"/>
      <c r="C73" s="47"/>
      <c r="D73" s="47" t="s">
        <v>19</v>
      </c>
      <c r="E73" s="49">
        <v>10.0</v>
      </c>
      <c r="F73" s="49"/>
      <c r="G73" s="53"/>
      <c r="H73" s="53"/>
      <c r="I73" s="53"/>
      <c r="J73" s="53"/>
      <c r="K73" s="53"/>
      <c r="L73" s="53"/>
      <c r="M73" s="14" t="str">
        <f t="shared" ref="M73:Q73" si="87">IF(F73="","", LOOKUP(F73, $G$157:$G$220, H$157:H$220))</f>
        <v/>
      </c>
      <c r="N73" s="14" t="str">
        <f t="shared" si="87"/>
        <v/>
      </c>
      <c r="O73" s="14" t="str">
        <f t="shared" si="87"/>
        <v/>
      </c>
      <c r="P73" s="14" t="str">
        <f t="shared" si="87"/>
        <v/>
      </c>
      <c r="Q73" s="14" t="str">
        <f t="shared" si="87"/>
        <v/>
      </c>
      <c r="R73" s="14" t="str">
        <f t="shared" si="15"/>
        <v/>
      </c>
      <c r="S73" s="14" t="str">
        <f t="shared" si="16"/>
        <v/>
      </c>
      <c r="T73" s="14"/>
      <c r="U73" s="53" t="str">
        <f>IF(S73="", "", IF(S74="", IF(S75="",S73-L73-1-S76, S73-L73-1-S75), S73-L73-1-S74))</f>
        <v/>
      </c>
      <c r="V73" s="14"/>
      <c r="W73" s="47">
        <v>4.12</v>
      </c>
      <c r="X73" s="47">
        <v>5.73</v>
      </c>
      <c r="Y73" s="47">
        <f t="shared" ref="Y73:Y77" si="89">W73-X73</f>
        <v>-1.61</v>
      </c>
      <c r="Z73" s="47"/>
      <c r="AA73" s="47">
        <v>2.73</v>
      </c>
      <c r="AB73" s="47">
        <v>3.59</v>
      </c>
      <c r="AC73" s="47">
        <f t="shared" ref="AC73:AC77" si="90">AA73-AB73</f>
        <v>-0.86</v>
      </c>
      <c r="AD73" s="14"/>
      <c r="AE73" s="47"/>
      <c r="AF73" s="14"/>
      <c r="AG73" s="14"/>
    </row>
    <row r="74" ht="12.75" customHeight="1">
      <c r="A74" s="47"/>
      <c r="B74" s="47"/>
      <c r="C74" s="47"/>
      <c r="D74" s="47" t="s">
        <v>33</v>
      </c>
      <c r="E74" s="54"/>
      <c r="F74" s="57"/>
      <c r="G74" s="54"/>
      <c r="H74" s="57"/>
      <c r="I74" s="57"/>
      <c r="J74" s="57"/>
      <c r="K74" s="57"/>
      <c r="L74" s="57"/>
      <c r="M74" s="14" t="str">
        <f t="shared" ref="M74:Q74" si="88">IF(F74="","", LOOKUP(F74, $G$157:$G$220, H$157:H$220))</f>
        <v/>
      </c>
      <c r="N74" s="14" t="str">
        <f t="shared" si="88"/>
        <v/>
      </c>
      <c r="O74" s="14" t="str">
        <f t="shared" si="88"/>
        <v/>
      </c>
      <c r="P74" s="14" t="str">
        <f t="shared" si="88"/>
        <v/>
      </c>
      <c r="Q74" s="14" t="str">
        <f t="shared" si="88"/>
        <v/>
      </c>
      <c r="R74" s="14" t="str">
        <f t="shared" si="15"/>
        <v/>
      </c>
      <c r="S74" s="14" t="str">
        <f t="shared" si="16"/>
        <v/>
      </c>
      <c r="T74" s="14"/>
      <c r="U74" s="57" t="str">
        <f t="shared" ref="U74:U76" si="92">IF(S74="", "", IF(S75="", S74-L74-1-S76, S74-L74-1-S75))</f>
        <v/>
      </c>
      <c r="V74" s="14"/>
      <c r="W74" s="47">
        <v>4.54</v>
      </c>
      <c r="X74" s="47">
        <v>4.69</v>
      </c>
      <c r="Y74" s="47">
        <f t="shared" si="89"/>
        <v>-0.15</v>
      </c>
      <c r="Z74" s="14"/>
      <c r="AA74" s="47">
        <v>3.69</v>
      </c>
      <c r="AB74" s="47">
        <v>3.4</v>
      </c>
      <c r="AC74" s="47">
        <f t="shared" si="90"/>
        <v>0.29</v>
      </c>
      <c r="AD74" s="47"/>
      <c r="AE74" s="47"/>
      <c r="AF74" s="14"/>
      <c r="AG74" s="14"/>
    </row>
    <row r="75" ht="12.75" customHeight="1">
      <c r="A75" s="47"/>
      <c r="B75" s="47"/>
      <c r="C75" s="47"/>
      <c r="E75" s="54"/>
      <c r="F75" s="57"/>
      <c r="G75" s="54"/>
      <c r="H75" s="57"/>
      <c r="I75" s="57"/>
      <c r="J75" s="57"/>
      <c r="K75" s="57"/>
      <c r="L75" s="57"/>
      <c r="M75" s="14" t="str">
        <f t="shared" ref="M75:Q75" si="91">IF(F75="","", LOOKUP(F75, $G$157:$G$220, H$157:H$220))</f>
        <v/>
      </c>
      <c r="N75" s="14" t="str">
        <f t="shared" si="91"/>
        <v/>
      </c>
      <c r="O75" s="14" t="str">
        <f t="shared" si="91"/>
        <v/>
      </c>
      <c r="P75" s="14" t="str">
        <f t="shared" si="91"/>
        <v/>
      </c>
      <c r="Q75" s="14" t="str">
        <f t="shared" si="91"/>
        <v/>
      </c>
      <c r="R75" s="14" t="str">
        <f t="shared" si="15"/>
        <v/>
      </c>
      <c r="S75" s="14" t="str">
        <f t="shared" si="16"/>
        <v/>
      </c>
      <c r="T75" s="14"/>
      <c r="U75" s="57" t="str">
        <f t="shared" si="92"/>
        <v/>
      </c>
      <c r="V75" s="14"/>
      <c r="W75" s="47">
        <v>4.06</v>
      </c>
      <c r="X75" s="47">
        <v>4.1</v>
      </c>
      <c r="Y75" s="47">
        <f t="shared" si="89"/>
        <v>-0.04</v>
      </c>
      <c r="Z75" s="14"/>
      <c r="AA75" s="47">
        <v>3.13</v>
      </c>
      <c r="AB75" s="47">
        <v>2.56</v>
      </c>
      <c r="AC75" s="47">
        <f t="shared" si="90"/>
        <v>0.57</v>
      </c>
      <c r="AD75" s="14"/>
      <c r="AE75" s="14"/>
      <c r="AF75" s="14"/>
      <c r="AG75" s="14"/>
    </row>
    <row r="76" ht="12.75" customHeight="1">
      <c r="A76" s="47"/>
      <c r="B76" s="47"/>
      <c r="C76" s="47"/>
      <c r="D76" s="47" t="s">
        <v>35</v>
      </c>
      <c r="E76" s="55"/>
      <c r="F76" s="58"/>
      <c r="G76" s="55"/>
      <c r="H76" s="58"/>
      <c r="I76" s="58"/>
      <c r="J76" s="58"/>
      <c r="K76" s="55"/>
      <c r="L76" s="58"/>
      <c r="M76" s="14" t="str">
        <f t="shared" ref="M76:Q76" si="93">IF(F76="","", LOOKUP(F76, $G$157:$G$220, H$157:H$220))</f>
        <v/>
      </c>
      <c r="N76" s="14" t="str">
        <f t="shared" si="93"/>
        <v/>
      </c>
      <c r="O76" s="14" t="str">
        <f t="shared" si="93"/>
        <v/>
      </c>
      <c r="P76" s="14" t="str">
        <f t="shared" si="93"/>
        <v/>
      </c>
      <c r="Q76" s="14" t="str">
        <f t="shared" si="93"/>
        <v/>
      </c>
      <c r="R76" s="14" t="str">
        <f t="shared" si="15"/>
        <v/>
      </c>
      <c r="S76" s="14" t="str">
        <f t="shared" si="16"/>
        <v/>
      </c>
      <c r="T76" s="14"/>
      <c r="U76" s="58" t="str">
        <f t="shared" si="92"/>
        <v/>
      </c>
      <c r="V76" s="14"/>
      <c r="W76" s="47">
        <v>3.89</v>
      </c>
      <c r="X76" s="47">
        <v>3.4</v>
      </c>
      <c r="Y76" s="47">
        <f t="shared" si="89"/>
        <v>0.49</v>
      </c>
      <c r="Z76" s="47"/>
      <c r="AA76" s="47">
        <v>3.1</v>
      </c>
      <c r="AB76" s="47">
        <v>3.06</v>
      </c>
      <c r="AC76" s="47">
        <f t="shared" si="90"/>
        <v>0.04</v>
      </c>
      <c r="AD76" s="14"/>
      <c r="AE76" s="14"/>
      <c r="AF76" s="14"/>
      <c r="AG76" s="14"/>
    </row>
    <row r="77" ht="12.75" customHeight="1">
      <c r="A77" s="47"/>
      <c r="B77" s="47"/>
      <c r="C77" s="47"/>
      <c r="D77" s="47" t="s">
        <v>22</v>
      </c>
      <c r="E77" s="56"/>
      <c r="F77" s="59"/>
      <c r="G77" s="59"/>
      <c r="H77" s="59"/>
      <c r="I77" s="59"/>
      <c r="J77" s="59"/>
      <c r="K77" s="56"/>
      <c r="L77" s="59"/>
      <c r="M77" s="14" t="str">
        <f t="shared" ref="M77:Q77" si="94">IF(F77="","", LOOKUP(F77, $G$157:$G$220, H$157:H$220))</f>
        <v/>
      </c>
      <c r="N77" s="14" t="str">
        <f t="shared" si="94"/>
        <v/>
      </c>
      <c r="O77" s="14" t="str">
        <f t="shared" si="94"/>
        <v/>
      </c>
      <c r="P77" s="14" t="str">
        <f t="shared" si="94"/>
        <v/>
      </c>
      <c r="Q77" s="14" t="str">
        <f t="shared" si="94"/>
        <v/>
      </c>
      <c r="R77" s="14" t="str">
        <f t="shared" si="15"/>
        <v/>
      </c>
      <c r="S77" s="14" t="str">
        <f t="shared" si="16"/>
        <v/>
      </c>
      <c r="T77" s="14"/>
      <c r="U77" s="59" t="str">
        <f t="shared" ref="U77:U79" si="96">IF(S77="", "", S77-L77-1-S78)</f>
        <v/>
      </c>
      <c r="V77" s="14"/>
      <c r="W77" s="47">
        <v>4.11</v>
      </c>
      <c r="X77" s="47">
        <v>4.8</v>
      </c>
      <c r="Y77" s="47">
        <f t="shared" si="89"/>
        <v>-0.69</v>
      </c>
      <c r="Z77" s="14"/>
      <c r="AA77" s="47">
        <v>2.4</v>
      </c>
      <c r="AB77" s="47">
        <v>2.04</v>
      </c>
      <c r="AC77" s="47">
        <f t="shared" si="90"/>
        <v>0.36</v>
      </c>
      <c r="AD77" s="14"/>
      <c r="AE77" s="14"/>
      <c r="AF77" s="14"/>
      <c r="AG77" s="14"/>
    </row>
    <row r="78" ht="12.75" customHeight="1">
      <c r="A78" s="47"/>
      <c r="B78" s="47"/>
      <c r="C78" s="47"/>
      <c r="D78" s="47"/>
      <c r="E78" s="56"/>
      <c r="F78" s="56"/>
      <c r="G78" s="59"/>
      <c r="H78" s="59"/>
      <c r="I78" s="59"/>
      <c r="J78" s="59"/>
      <c r="K78" s="56"/>
      <c r="L78" s="60"/>
      <c r="M78" s="14" t="str">
        <f t="shared" ref="M78:Q78" si="95">IF(F78="","", LOOKUP(F78, $G$157:$G$220, H$157:H$220))</f>
        <v/>
      </c>
      <c r="N78" s="14" t="str">
        <f t="shared" si="95"/>
        <v/>
      </c>
      <c r="O78" s="14" t="str">
        <f t="shared" si="95"/>
        <v/>
      </c>
      <c r="P78" s="14" t="str">
        <f t="shared" si="95"/>
        <v/>
      </c>
      <c r="Q78" s="14" t="str">
        <f t="shared" si="95"/>
        <v/>
      </c>
      <c r="R78" s="14" t="str">
        <f t="shared" si="15"/>
        <v/>
      </c>
      <c r="S78" s="14" t="str">
        <f t="shared" si="16"/>
        <v/>
      </c>
      <c r="T78" s="14"/>
      <c r="U78" s="59" t="str">
        <f t="shared" si="96"/>
        <v/>
      </c>
      <c r="V78" s="14"/>
      <c r="W78" s="47"/>
      <c r="X78" s="47"/>
      <c r="Y78" s="47"/>
      <c r="Z78" s="14"/>
      <c r="AA78" s="47"/>
      <c r="AB78" s="47"/>
      <c r="AC78" s="47"/>
      <c r="AD78" s="47"/>
      <c r="AE78" s="47"/>
      <c r="AF78" s="14"/>
      <c r="AG78" s="14"/>
    </row>
    <row r="79" ht="12.75" customHeight="1">
      <c r="A79" s="47"/>
      <c r="B79" s="47"/>
      <c r="C79" s="47"/>
      <c r="D79" s="47"/>
      <c r="E79" s="47"/>
      <c r="F79" s="47"/>
      <c r="G79" s="14"/>
      <c r="H79" s="14"/>
      <c r="I79" s="14"/>
      <c r="J79" s="14"/>
      <c r="K79" s="14"/>
      <c r="L79" s="14"/>
      <c r="M79" s="14" t="str">
        <f t="shared" ref="M79:Q79" si="97">IF(F79="","", LOOKUP(F79, $G$157:$G$220, H$157:H$220))</f>
        <v/>
      </c>
      <c r="N79" s="14" t="str">
        <f t="shared" si="97"/>
        <v/>
      </c>
      <c r="O79" s="14" t="str">
        <f t="shared" si="97"/>
        <v/>
      </c>
      <c r="P79" s="14" t="str">
        <f t="shared" si="97"/>
        <v/>
      </c>
      <c r="Q79" s="14" t="str">
        <f t="shared" si="97"/>
        <v/>
      </c>
      <c r="R79" s="14" t="str">
        <f t="shared" si="15"/>
        <v/>
      </c>
      <c r="S79" s="14" t="str">
        <f t="shared" si="16"/>
        <v/>
      </c>
      <c r="T79" s="14"/>
      <c r="U79" s="14" t="str">
        <f t="shared" si="96"/>
        <v/>
      </c>
      <c r="V79" s="14"/>
      <c r="W79" s="47"/>
      <c r="X79" s="47"/>
      <c r="Y79" s="47"/>
      <c r="Z79" s="14"/>
      <c r="AA79" s="47"/>
      <c r="AB79" s="47"/>
      <c r="AC79" s="47"/>
      <c r="AD79" s="47"/>
      <c r="AE79" s="47"/>
      <c r="AF79" s="14"/>
      <c r="AG79" s="14"/>
    </row>
    <row r="80" ht="12.75" customHeight="1">
      <c r="A80" s="47"/>
      <c r="B80" s="47"/>
      <c r="C80" s="47"/>
      <c r="D80" s="47" t="s">
        <v>19</v>
      </c>
      <c r="E80" s="49">
        <v>11.0</v>
      </c>
      <c r="F80" s="49"/>
      <c r="G80" s="53"/>
      <c r="H80" s="53"/>
      <c r="I80" s="53"/>
      <c r="J80" s="53"/>
      <c r="K80" s="53"/>
      <c r="L80" s="53"/>
      <c r="M80" s="14" t="str">
        <f t="shared" ref="M80:Q80" si="98">IF(F80="","", LOOKUP(F80, $G$157:$G$220, H$157:H$220))</f>
        <v/>
      </c>
      <c r="N80" s="14" t="str">
        <f t="shared" si="98"/>
        <v/>
      </c>
      <c r="O80" s="14" t="str">
        <f t="shared" si="98"/>
        <v/>
      </c>
      <c r="P80" s="14" t="str">
        <f t="shared" si="98"/>
        <v/>
      </c>
      <c r="Q80" s="14" t="str">
        <f t="shared" si="98"/>
        <v/>
      </c>
      <c r="R80" s="14" t="str">
        <f t="shared" si="15"/>
        <v/>
      </c>
      <c r="S80" s="14" t="str">
        <f t="shared" si="16"/>
        <v/>
      </c>
      <c r="T80" s="14"/>
      <c r="U80" s="53" t="str">
        <f>IF(S80="", "", IF(S81="", IF(S82="",S80-L80-1-S83, S80-L80-1-S82), S80-L80-1-S81))</f>
        <v/>
      </c>
      <c r="V80" s="14"/>
      <c r="W80" s="47">
        <v>3.96</v>
      </c>
      <c r="X80" s="47">
        <v>5.15</v>
      </c>
      <c r="Y80" s="47">
        <f t="shared" ref="Y80:Y84" si="100">W80-X80</f>
        <v>-1.19</v>
      </c>
      <c r="Z80" s="14"/>
      <c r="AA80" s="47">
        <v>3.8</v>
      </c>
      <c r="AB80" s="47">
        <v>3.06</v>
      </c>
      <c r="AC80" s="47">
        <f t="shared" ref="AC80:AC84" si="101">AA80-AB80</f>
        <v>0.74</v>
      </c>
      <c r="AD80" s="47"/>
      <c r="AE80" s="47"/>
      <c r="AF80" s="14"/>
      <c r="AG80" s="14"/>
    </row>
    <row r="81" ht="12.75" customHeight="1">
      <c r="A81" s="47"/>
      <c r="B81" s="47"/>
      <c r="C81" s="47"/>
      <c r="D81" s="47" t="s">
        <v>33</v>
      </c>
      <c r="E81" s="54"/>
      <c r="F81" s="57"/>
      <c r="G81" s="54"/>
      <c r="H81" s="57"/>
      <c r="I81" s="57"/>
      <c r="J81" s="57"/>
      <c r="K81" s="57"/>
      <c r="L81" s="57"/>
      <c r="M81" s="14" t="str">
        <f t="shared" ref="M81:Q81" si="99">IF(F81="","", LOOKUP(F81, $G$157:$G$220, H$157:H$220))</f>
        <v/>
      </c>
      <c r="N81" s="14" t="str">
        <f t="shared" si="99"/>
        <v/>
      </c>
      <c r="O81" s="14" t="str">
        <f t="shared" si="99"/>
        <v/>
      </c>
      <c r="P81" s="14" t="str">
        <f t="shared" si="99"/>
        <v/>
      </c>
      <c r="Q81" s="14" t="str">
        <f t="shared" si="99"/>
        <v/>
      </c>
      <c r="R81" s="14" t="str">
        <f t="shared" si="15"/>
        <v/>
      </c>
      <c r="S81" s="14" t="str">
        <f t="shared" si="16"/>
        <v/>
      </c>
      <c r="T81" s="14"/>
      <c r="U81" s="57" t="str">
        <f t="shared" ref="U81:U83" si="103">IF(S81="", "", IF(S82="", S81-L81-1-S83, S81-L81-1-S82))</f>
        <v/>
      </c>
      <c r="V81" s="14"/>
      <c r="W81" s="47">
        <v>4.28</v>
      </c>
      <c r="X81" s="47">
        <v>5.36</v>
      </c>
      <c r="Y81" s="47">
        <f t="shared" si="100"/>
        <v>-1.08</v>
      </c>
      <c r="Z81" s="47"/>
      <c r="AA81" s="47">
        <v>3.15</v>
      </c>
      <c r="AB81" s="47">
        <v>3.4</v>
      </c>
      <c r="AC81" s="47">
        <f t="shared" si="101"/>
        <v>-0.25</v>
      </c>
      <c r="AD81" s="14"/>
      <c r="AE81" s="14"/>
      <c r="AF81" s="14"/>
      <c r="AG81" s="14"/>
    </row>
    <row r="82" ht="12.75" customHeight="1">
      <c r="A82" s="47"/>
      <c r="B82" s="47"/>
      <c r="C82" s="47"/>
      <c r="E82" s="54"/>
      <c r="F82" s="57"/>
      <c r="G82" s="57"/>
      <c r="H82" s="54"/>
      <c r="I82" s="57"/>
      <c r="J82" s="57"/>
      <c r="K82" s="57"/>
      <c r="L82" s="57"/>
      <c r="M82" s="14" t="str">
        <f t="shared" ref="M82:Q82" si="102">IF(F82="","", LOOKUP(F82, $G$157:$G$220, H$157:H$220))</f>
        <v/>
      </c>
      <c r="N82" s="14" t="str">
        <f t="shared" si="102"/>
        <v/>
      </c>
      <c r="O82" s="14" t="str">
        <f t="shared" si="102"/>
        <v/>
      </c>
      <c r="P82" s="14" t="str">
        <f t="shared" si="102"/>
        <v/>
      </c>
      <c r="Q82" s="14" t="str">
        <f t="shared" si="102"/>
        <v/>
      </c>
      <c r="R82" s="14" t="str">
        <f t="shared" si="15"/>
        <v/>
      </c>
      <c r="S82" s="14" t="str">
        <f t="shared" si="16"/>
        <v/>
      </c>
      <c r="T82" s="14"/>
      <c r="U82" s="57" t="str">
        <f t="shared" si="103"/>
        <v/>
      </c>
      <c r="V82" s="14"/>
      <c r="W82" s="47">
        <v>4.47</v>
      </c>
      <c r="X82" s="47">
        <v>4.32</v>
      </c>
      <c r="Y82" s="47">
        <f t="shared" si="100"/>
        <v>0.15</v>
      </c>
      <c r="Z82" s="14"/>
      <c r="AA82" s="47">
        <v>2.97</v>
      </c>
      <c r="AB82" s="47">
        <v>3.65</v>
      </c>
      <c r="AC82" s="47">
        <f t="shared" si="101"/>
        <v>-0.68</v>
      </c>
      <c r="AD82" s="14"/>
      <c r="AE82" s="14"/>
      <c r="AF82" s="14"/>
      <c r="AG82" s="14"/>
    </row>
    <row r="83" ht="12.75" customHeight="1">
      <c r="A83" s="47"/>
      <c r="B83" s="47"/>
      <c r="C83" s="47"/>
      <c r="D83" s="47" t="s">
        <v>35</v>
      </c>
      <c r="E83" s="55"/>
      <c r="F83" s="58"/>
      <c r="G83" s="58"/>
      <c r="H83" s="55"/>
      <c r="I83" s="58"/>
      <c r="J83" s="58"/>
      <c r="K83" s="55"/>
      <c r="L83" s="58"/>
      <c r="M83" s="14" t="str">
        <f t="shared" ref="M83:Q83" si="104">IF(F83="","", LOOKUP(F83, $G$157:$G$220, H$157:H$220))</f>
        <v/>
      </c>
      <c r="N83" s="14" t="str">
        <f t="shared" si="104"/>
        <v/>
      </c>
      <c r="O83" s="14" t="str">
        <f t="shared" si="104"/>
        <v/>
      </c>
      <c r="P83" s="14" t="str">
        <f t="shared" si="104"/>
        <v/>
      </c>
      <c r="Q83" s="14" t="str">
        <f t="shared" si="104"/>
        <v/>
      </c>
      <c r="R83" s="14" t="str">
        <f t="shared" si="15"/>
        <v/>
      </c>
      <c r="S83" s="14" t="str">
        <f t="shared" si="16"/>
        <v/>
      </c>
      <c r="T83" s="14"/>
      <c r="U83" s="58" t="str">
        <f t="shared" si="103"/>
        <v/>
      </c>
      <c r="V83" s="14"/>
      <c r="W83" s="47">
        <v>3.99</v>
      </c>
      <c r="X83" s="47">
        <v>3.82</v>
      </c>
      <c r="Y83" s="47">
        <f t="shared" si="100"/>
        <v>0.17</v>
      </c>
      <c r="Z83" s="14"/>
      <c r="AA83" s="47">
        <v>3.36</v>
      </c>
      <c r="AB83" s="47">
        <v>3.78</v>
      </c>
      <c r="AC83" s="47">
        <f t="shared" si="101"/>
        <v>-0.42</v>
      </c>
      <c r="AD83" s="14"/>
      <c r="AE83" s="14"/>
      <c r="AF83" s="14"/>
      <c r="AG83" s="14"/>
    </row>
    <row r="84" ht="12.75" customHeight="1">
      <c r="A84" s="47"/>
      <c r="B84" s="47"/>
      <c r="C84" s="47"/>
      <c r="D84" s="47" t="s">
        <v>22</v>
      </c>
      <c r="E84" s="56"/>
      <c r="F84" s="59"/>
      <c r="G84" s="59"/>
      <c r="H84" s="59"/>
      <c r="I84" s="59"/>
      <c r="J84" s="59"/>
      <c r="K84" s="56"/>
      <c r="L84" s="59"/>
      <c r="M84" s="14" t="str">
        <f t="shared" ref="M84:Q84" si="105">IF(F84="","", LOOKUP(F84, $G$157:$G$220, H$157:H$220))</f>
        <v/>
      </c>
      <c r="N84" s="14" t="str">
        <f t="shared" si="105"/>
        <v/>
      </c>
      <c r="O84" s="14" t="str">
        <f t="shared" si="105"/>
        <v/>
      </c>
      <c r="P84" s="14" t="str">
        <f t="shared" si="105"/>
        <v/>
      </c>
      <c r="Q84" s="14" t="str">
        <f t="shared" si="105"/>
        <v/>
      </c>
      <c r="R84" s="14" t="str">
        <f t="shared" si="15"/>
        <v/>
      </c>
      <c r="S84" s="14" t="str">
        <f t="shared" si="16"/>
        <v/>
      </c>
      <c r="T84" s="14"/>
      <c r="U84" s="59" t="str">
        <f t="shared" ref="U84:U86" si="107">IF(S84="", "", S84-L84-1-S85)</f>
        <v/>
      </c>
      <c r="V84" s="14"/>
      <c r="W84" s="47">
        <v>4.12</v>
      </c>
      <c r="X84" s="47">
        <v>3.88</v>
      </c>
      <c r="Y84" s="47">
        <f t="shared" si="100"/>
        <v>0.24</v>
      </c>
      <c r="Z84" s="14"/>
      <c r="AA84" s="47">
        <v>3.32</v>
      </c>
      <c r="AB84" s="47">
        <v>3.3</v>
      </c>
      <c r="AC84" s="47">
        <f t="shared" si="101"/>
        <v>0.02</v>
      </c>
      <c r="AD84" s="47"/>
      <c r="AE84" s="47"/>
      <c r="AF84" s="14"/>
      <c r="AG84" s="14"/>
    </row>
    <row r="85" ht="12.75" customHeight="1">
      <c r="A85" s="47"/>
      <c r="B85" s="47"/>
      <c r="C85" s="47"/>
      <c r="D85" s="47"/>
      <c r="E85" s="56"/>
      <c r="F85" s="56"/>
      <c r="G85" s="59"/>
      <c r="H85" s="59"/>
      <c r="I85" s="59"/>
      <c r="J85" s="59"/>
      <c r="K85" s="56"/>
      <c r="L85" s="60"/>
      <c r="M85" s="14" t="str">
        <f t="shared" ref="M85:Q85" si="106">IF(F85="","", LOOKUP(F85, $G$157:$G$220, H$157:H$220))</f>
        <v/>
      </c>
      <c r="N85" s="14" t="str">
        <f t="shared" si="106"/>
        <v/>
      </c>
      <c r="O85" s="14" t="str">
        <f t="shared" si="106"/>
        <v/>
      </c>
      <c r="P85" s="14" t="str">
        <f t="shared" si="106"/>
        <v/>
      </c>
      <c r="Q85" s="14" t="str">
        <f t="shared" si="106"/>
        <v/>
      </c>
      <c r="R85" s="14" t="str">
        <f t="shared" si="15"/>
        <v/>
      </c>
      <c r="S85" s="14" t="str">
        <f t="shared" si="16"/>
        <v/>
      </c>
      <c r="T85" s="14"/>
      <c r="U85" s="59" t="str">
        <f t="shared" si="107"/>
        <v/>
      </c>
      <c r="V85" s="14"/>
      <c r="W85" s="47"/>
      <c r="X85" s="47"/>
      <c r="Y85" s="47"/>
      <c r="Z85" s="14"/>
      <c r="AA85" s="47"/>
      <c r="AB85" s="47"/>
      <c r="AC85" s="47"/>
      <c r="AD85" s="14"/>
      <c r="AE85" s="14"/>
      <c r="AF85" s="14"/>
      <c r="AG85" s="14"/>
    </row>
    <row r="86" ht="12.75" customHeight="1">
      <c r="A86" s="47"/>
      <c r="B86" s="47"/>
      <c r="C86" s="47"/>
      <c r="D86" s="47"/>
      <c r="E86" s="47"/>
      <c r="F86" s="47"/>
      <c r="G86" s="14"/>
      <c r="H86" s="14"/>
      <c r="I86" s="14"/>
      <c r="J86" s="14"/>
      <c r="K86" s="14"/>
      <c r="L86" s="14"/>
      <c r="M86" s="14" t="str">
        <f t="shared" ref="M86:Q86" si="108">IF(F86="","", LOOKUP(F86, $G$157:$G$220, H$157:H$220))</f>
        <v/>
      </c>
      <c r="N86" s="14" t="str">
        <f t="shared" si="108"/>
        <v/>
      </c>
      <c r="O86" s="14" t="str">
        <f t="shared" si="108"/>
        <v/>
      </c>
      <c r="P86" s="14" t="str">
        <f t="shared" si="108"/>
        <v/>
      </c>
      <c r="Q86" s="14" t="str">
        <f t="shared" si="108"/>
        <v/>
      </c>
      <c r="R86" s="14" t="str">
        <f t="shared" si="15"/>
        <v/>
      </c>
      <c r="S86" s="14" t="str">
        <f t="shared" si="16"/>
        <v/>
      </c>
      <c r="T86" s="14"/>
      <c r="U86" s="14" t="str">
        <f t="shared" si="107"/>
        <v/>
      </c>
      <c r="V86" s="14"/>
      <c r="W86" s="47"/>
      <c r="X86" s="47"/>
      <c r="Y86" s="47"/>
      <c r="Z86" s="14"/>
      <c r="AA86" s="47"/>
      <c r="AB86" s="47"/>
      <c r="AC86" s="47"/>
      <c r="AD86" s="14"/>
      <c r="AE86" s="14"/>
      <c r="AF86" s="14"/>
      <c r="AG86" s="14"/>
    </row>
    <row r="87" ht="12.75" customHeight="1">
      <c r="A87" s="47"/>
      <c r="B87" s="47"/>
      <c r="C87" s="47"/>
      <c r="D87" s="47" t="s">
        <v>19</v>
      </c>
      <c r="E87" s="49">
        <v>12.0</v>
      </c>
      <c r="F87" s="49"/>
      <c r="G87" s="53"/>
      <c r="H87" s="53"/>
      <c r="I87" s="53"/>
      <c r="J87" s="53"/>
      <c r="K87" s="53"/>
      <c r="L87" s="53"/>
      <c r="M87" s="14" t="str">
        <f t="shared" ref="M87:Q87" si="109">IF(F87="","", LOOKUP(F87, $G$157:$G$220, H$157:H$220))</f>
        <v/>
      </c>
      <c r="N87" s="14" t="str">
        <f t="shared" si="109"/>
        <v/>
      </c>
      <c r="O87" s="14" t="str">
        <f t="shared" si="109"/>
        <v/>
      </c>
      <c r="P87" s="14" t="str">
        <f t="shared" si="109"/>
        <v/>
      </c>
      <c r="Q87" s="14" t="str">
        <f t="shared" si="109"/>
        <v/>
      </c>
      <c r="R87" s="14" t="str">
        <f t="shared" si="15"/>
        <v/>
      </c>
      <c r="S87" s="14" t="str">
        <f t="shared" si="16"/>
        <v/>
      </c>
      <c r="T87" s="14"/>
      <c r="U87" s="53" t="str">
        <f>IF(S87="", "", IF(S88="", IF(S89="",S87-L87-1-S90, S87-L87-1-S89), S87-L87-1-S88))</f>
        <v/>
      </c>
      <c r="V87" s="14"/>
      <c r="W87" s="47">
        <v>3.79</v>
      </c>
      <c r="X87" s="47">
        <v>4.02</v>
      </c>
      <c r="Y87" s="47">
        <f t="shared" ref="Y87:Y90" si="111">W87-X87</f>
        <v>-0.23</v>
      </c>
      <c r="Z87" s="14"/>
      <c r="AA87" s="47">
        <v>2.82</v>
      </c>
      <c r="AB87" s="47">
        <v>3.5</v>
      </c>
      <c r="AC87" s="47">
        <f t="shared" ref="AC87:AC90" si="112">AA87-AB87</f>
        <v>-0.68</v>
      </c>
      <c r="AD87" s="14"/>
      <c r="AE87" s="14"/>
      <c r="AF87" s="14"/>
      <c r="AG87" s="14"/>
    </row>
    <row r="88" ht="12.75" customHeight="1">
      <c r="A88" s="47"/>
      <c r="B88" s="47"/>
      <c r="C88" s="47"/>
      <c r="D88" s="47" t="s">
        <v>33</v>
      </c>
      <c r="E88" s="54"/>
      <c r="F88" s="57"/>
      <c r="G88" s="54"/>
      <c r="H88" s="57"/>
      <c r="I88" s="57"/>
      <c r="J88" s="57"/>
      <c r="K88" s="54"/>
      <c r="L88" s="57"/>
      <c r="M88" s="14" t="str">
        <f t="shared" ref="M88:Q88" si="110">IF(F88="","", LOOKUP(F88, $G$157:$G$220, H$157:H$220))</f>
        <v/>
      </c>
      <c r="N88" s="14" t="str">
        <f t="shared" si="110"/>
        <v/>
      </c>
      <c r="O88" s="14" t="str">
        <f t="shared" si="110"/>
        <v/>
      </c>
      <c r="P88" s="14" t="str">
        <f t="shared" si="110"/>
        <v/>
      </c>
      <c r="Q88" s="14" t="str">
        <f t="shared" si="110"/>
        <v/>
      </c>
      <c r="R88" s="14" t="str">
        <f t="shared" si="15"/>
        <v/>
      </c>
      <c r="S88" s="14" t="str">
        <f t="shared" si="16"/>
        <v/>
      </c>
      <c r="T88" s="14"/>
      <c r="U88" s="57" t="str">
        <f t="shared" ref="U88:U90" si="114">IF(S88="", "", IF(S89="", S88-L88-1-S90, S88-L88-1-S89))</f>
        <v/>
      </c>
      <c r="V88" s="14"/>
      <c r="W88" s="47">
        <v>3.76</v>
      </c>
      <c r="X88" s="47">
        <v>5.31</v>
      </c>
      <c r="Y88" s="47">
        <f t="shared" si="111"/>
        <v>-1.55</v>
      </c>
      <c r="Z88" s="14"/>
      <c r="AA88" s="47">
        <v>3.12</v>
      </c>
      <c r="AB88" s="47">
        <v>3.06</v>
      </c>
      <c r="AC88" s="47">
        <f t="shared" si="112"/>
        <v>0.06</v>
      </c>
      <c r="AD88" s="14"/>
      <c r="AE88" s="14"/>
      <c r="AF88" s="14"/>
      <c r="AG88" s="14"/>
    </row>
    <row r="89" ht="12.75" customHeight="1">
      <c r="A89" s="47"/>
      <c r="B89" s="47"/>
      <c r="C89" s="47"/>
      <c r="E89" s="54"/>
      <c r="F89" s="54"/>
      <c r="G89" s="57"/>
      <c r="H89" s="57"/>
      <c r="I89" s="57"/>
      <c r="J89" s="57"/>
      <c r="K89" s="54"/>
      <c r="L89" s="57"/>
      <c r="M89" s="14" t="str">
        <f t="shared" ref="M89:Q89" si="113">IF(F89="","", LOOKUP(F89, $G$157:$G$220, H$157:H$220))</f>
        <v/>
      </c>
      <c r="N89" s="14" t="str">
        <f t="shared" si="113"/>
        <v/>
      </c>
      <c r="O89" s="14" t="str">
        <f t="shared" si="113"/>
        <v/>
      </c>
      <c r="P89" s="14" t="str">
        <f t="shared" si="113"/>
        <v/>
      </c>
      <c r="Q89" s="14" t="str">
        <f t="shared" si="113"/>
        <v/>
      </c>
      <c r="R89" s="14" t="str">
        <f t="shared" si="15"/>
        <v/>
      </c>
      <c r="S89" s="14" t="str">
        <f t="shared" si="16"/>
        <v/>
      </c>
      <c r="T89" s="14"/>
      <c r="U89" s="57" t="str">
        <f t="shared" si="114"/>
        <v/>
      </c>
      <c r="V89" s="14"/>
      <c r="W89" s="47">
        <v>3.92</v>
      </c>
      <c r="X89" s="47">
        <v>3.98</v>
      </c>
      <c r="Y89" s="47">
        <f t="shared" si="111"/>
        <v>-0.06</v>
      </c>
      <c r="Z89" s="14"/>
      <c r="AA89" s="47">
        <v>2.88</v>
      </c>
      <c r="AB89" s="47">
        <v>2.84</v>
      </c>
      <c r="AC89" s="47">
        <f t="shared" si="112"/>
        <v>0.04</v>
      </c>
      <c r="AD89" s="14"/>
      <c r="AE89" s="14"/>
      <c r="AF89" s="14"/>
      <c r="AG89" s="14"/>
    </row>
    <row r="90" ht="12.75" customHeight="1">
      <c r="A90" s="47"/>
      <c r="B90" s="47"/>
      <c r="C90" s="47"/>
      <c r="D90" s="47" t="s">
        <v>35</v>
      </c>
      <c r="E90" s="55"/>
      <c r="F90" s="58"/>
      <c r="G90" s="58"/>
      <c r="H90" s="55"/>
      <c r="I90" s="58"/>
      <c r="J90" s="58"/>
      <c r="K90" s="55"/>
      <c r="L90" s="58"/>
      <c r="M90" s="14" t="str">
        <f t="shared" ref="M90:Q90" si="115">IF(F90="","", LOOKUP(F90, $G$157:$G$220, H$157:H$220))</f>
        <v/>
      </c>
      <c r="N90" s="14" t="str">
        <f t="shared" si="115"/>
        <v/>
      </c>
      <c r="O90" s="14" t="str">
        <f t="shared" si="115"/>
        <v/>
      </c>
      <c r="P90" s="14" t="str">
        <f t="shared" si="115"/>
        <v/>
      </c>
      <c r="Q90" s="14" t="str">
        <f t="shared" si="115"/>
        <v/>
      </c>
      <c r="R90" s="14" t="str">
        <f t="shared" si="15"/>
        <v/>
      </c>
      <c r="S90" s="14" t="str">
        <f t="shared" si="16"/>
        <v/>
      </c>
      <c r="T90" s="14"/>
      <c r="U90" s="58" t="str">
        <f t="shared" si="114"/>
        <v/>
      </c>
      <c r="V90" s="14"/>
      <c r="W90" s="47">
        <v>4.03</v>
      </c>
      <c r="X90" s="47">
        <v>5.8</v>
      </c>
      <c r="Y90" s="47">
        <f t="shared" si="111"/>
        <v>-1.77</v>
      </c>
      <c r="Z90" s="14"/>
      <c r="AA90" s="47">
        <v>3.05</v>
      </c>
      <c r="AB90" s="47">
        <v>2.75</v>
      </c>
      <c r="AC90" s="47">
        <f t="shared" si="112"/>
        <v>0.3</v>
      </c>
      <c r="AD90" s="47"/>
      <c r="AE90" s="47"/>
      <c r="AF90" s="14"/>
      <c r="AG90" s="14"/>
    </row>
    <row r="91" ht="12.75" customHeight="1">
      <c r="A91" s="47"/>
      <c r="B91" s="47"/>
      <c r="C91" s="47"/>
      <c r="D91" s="47" t="s">
        <v>22</v>
      </c>
      <c r="E91" s="59"/>
      <c r="F91" s="59"/>
      <c r="G91" s="59"/>
      <c r="H91" s="59"/>
      <c r="I91" s="59"/>
      <c r="J91" s="59"/>
      <c r="K91" s="56"/>
      <c r="L91" s="59"/>
      <c r="M91" s="14" t="str">
        <f t="shared" ref="M91:Q91" si="116">IF(F91="","", LOOKUP(F91, $G$157:$G$220, H$157:H$220))</f>
        <v/>
      </c>
      <c r="N91" s="14" t="str">
        <f t="shared" si="116"/>
        <v/>
      </c>
      <c r="O91" s="14" t="str">
        <f t="shared" si="116"/>
        <v/>
      </c>
      <c r="P91" s="14" t="str">
        <f t="shared" si="116"/>
        <v/>
      </c>
      <c r="Q91" s="14" t="str">
        <f t="shared" si="116"/>
        <v/>
      </c>
      <c r="R91" s="14" t="str">
        <f t="shared" si="15"/>
        <v/>
      </c>
      <c r="S91" s="14" t="str">
        <f t="shared" si="16"/>
        <v/>
      </c>
      <c r="T91" s="14"/>
      <c r="U91" s="59" t="str">
        <f t="shared" ref="U91:U93" si="118">IF(S91="", "", S91-L91-1-S92)</f>
        <v/>
      </c>
      <c r="V91" s="14"/>
      <c r="W91" s="14"/>
      <c r="X91" s="47"/>
      <c r="Y91" s="14"/>
      <c r="Z91" s="47"/>
      <c r="AA91" s="47"/>
      <c r="AB91" s="47"/>
      <c r="AC91" s="47"/>
      <c r="AD91" s="14"/>
      <c r="AE91" s="14"/>
      <c r="AF91" s="14"/>
      <c r="AG91" s="14"/>
    </row>
    <row r="92" ht="12.75" customHeight="1">
      <c r="A92" s="14"/>
      <c r="B92" s="14"/>
      <c r="C92" s="14"/>
      <c r="D92" s="14"/>
      <c r="E92" s="59"/>
      <c r="F92" s="59"/>
      <c r="G92" s="59"/>
      <c r="H92" s="59"/>
      <c r="I92" s="59"/>
      <c r="J92" s="59"/>
      <c r="K92" s="56"/>
      <c r="L92" s="61"/>
      <c r="M92" s="14" t="str">
        <f t="shared" ref="M92:Q92" si="117">IF(F92="","", LOOKUP(F92, $G$157:$G$220, H$157:H$220))</f>
        <v/>
      </c>
      <c r="N92" s="14" t="str">
        <f t="shared" si="117"/>
        <v/>
      </c>
      <c r="O92" s="14" t="str">
        <f t="shared" si="117"/>
        <v/>
      </c>
      <c r="P92" s="14" t="str">
        <f t="shared" si="117"/>
        <v/>
      </c>
      <c r="Q92" s="14" t="str">
        <f t="shared" si="117"/>
        <v/>
      </c>
      <c r="R92" s="14" t="str">
        <f t="shared" si="15"/>
        <v/>
      </c>
      <c r="S92" s="14" t="str">
        <f t="shared" si="16"/>
        <v/>
      </c>
      <c r="T92" s="14"/>
      <c r="U92" s="59" t="str">
        <f t="shared" si="118"/>
        <v/>
      </c>
      <c r="V92" s="14"/>
      <c r="W92" s="14"/>
      <c r="X92" s="47"/>
      <c r="Y92" s="14"/>
      <c r="Z92" s="47"/>
      <c r="AA92" s="47"/>
      <c r="AB92" s="47"/>
      <c r="AC92" s="47"/>
      <c r="AD92" s="14"/>
      <c r="AE92" s="14"/>
      <c r="AF92" s="14"/>
      <c r="AG92" s="14"/>
    </row>
    <row r="93" ht="12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 t="str">
        <f t="shared" ref="M93:Q93" si="119">IF(F93="","", LOOKUP(F93, $G$157:$G$220, H$157:H$220))</f>
        <v/>
      </c>
      <c r="N93" s="14" t="str">
        <f t="shared" si="119"/>
        <v/>
      </c>
      <c r="O93" s="14" t="str">
        <f t="shared" si="119"/>
        <v/>
      </c>
      <c r="P93" s="14" t="str">
        <f t="shared" si="119"/>
        <v/>
      </c>
      <c r="Q93" s="14" t="str">
        <f t="shared" si="119"/>
        <v/>
      </c>
      <c r="R93" s="14" t="str">
        <f t="shared" si="15"/>
        <v/>
      </c>
      <c r="S93" s="14" t="str">
        <f t="shared" si="16"/>
        <v/>
      </c>
      <c r="T93" s="14"/>
      <c r="U93" s="14" t="str">
        <f t="shared" si="118"/>
        <v/>
      </c>
      <c r="V93" s="14"/>
      <c r="W93" s="14"/>
      <c r="X93" s="47" t="s">
        <v>6</v>
      </c>
      <c r="Y93" s="14">
        <f>SUM(Y73:Y90)</f>
        <v>-7.32</v>
      </c>
      <c r="Z93" s="47"/>
      <c r="AA93" s="47">
        <v>3.02</v>
      </c>
      <c r="AB93" s="47">
        <v>3.4</v>
      </c>
      <c r="AC93" s="47">
        <f t="shared" ref="AC93:AC96" si="121">AA93-AB93</f>
        <v>-0.38</v>
      </c>
      <c r="AD93" s="14"/>
      <c r="AE93" s="14"/>
      <c r="AF93" s="14"/>
      <c r="AG93" s="14"/>
    </row>
    <row r="94" ht="12.75" customHeight="1">
      <c r="A94" s="47"/>
      <c r="B94" s="47"/>
      <c r="C94" s="47"/>
      <c r="D94" s="47" t="s">
        <v>19</v>
      </c>
      <c r="E94" s="49">
        <v>13.0</v>
      </c>
      <c r="F94" s="49"/>
      <c r="G94" s="53"/>
      <c r="H94" s="53"/>
      <c r="I94" s="53"/>
      <c r="J94" s="53"/>
      <c r="K94" s="53"/>
      <c r="L94" s="53"/>
      <c r="M94" s="14" t="str">
        <f t="shared" ref="M94:Q94" si="120">IF(F94="","", LOOKUP(F94, $G$157:$G$220, H$157:H$220))</f>
        <v/>
      </c>
      <c r="N94" s="14" t="str">
        <f t="shared" si="120"/>
        <v/>
      </c>
      <c r="O94" s="14" t="str">
        <f t="shared" si="120"/>
        <v/>
      </c>
      <c r="P94" s="14" t="str">
        <f t="shared" si="120"/>
        <v/>
      </c>
      <c r="Q94" s="14" t="str">
        <f t="shared" si="120"/>
        <v/>
      </c>
      <c r="R94" s="14" t="str">
        <f t="shared" si="15"/>
        <v/>
      </c>
      <c r="S94" s="14" t="str">
        <f t="shared" si="16"/>
        <v/>
      </c>
      <c r="T94" s="14"/>
      <c r="U94" s="53" t="str">
        <f>IF(S94="", "", IF(S95="", IF(S96="",S94-L94-1-S97, S94-L94-1-S96), S94-L94-1-S95))</f>
        <v/>
      </c>
      <c r="V94" s="14"/>
      <c r="W94" s="14"/>
      <c r="X94" s="14"/>
      <c r="Y94" s="14">
        <f>1.78</f>
        <v>1.78</v>
      </c>
      <c r="Z94" s="14"/>
      <c r="AA94" s="47">
        <v>3.31</v>
      </c>
      <c r="AB94" s="47">
        <v>2.0</v>
      </c>
      <c r="AC94" s="47">
        <f t="shared" si="121"/>
        <v>1.31</v>
      </c>
      <c r="AD94" s="14"/>
      <c r="AE94" s="14"/>
      <c r="AF94" s="14"/>
      <c r="AG94" s="14"/>
    </row>
    <row r="95" ht="12.75" customHeight="1">
      <c r="A95" s="47"/>
      <c r="B95" s="47"/>
      <c r="C95" s="47"/>
      <c r="D95" s="47" t="s">
        <v>33</v>
      </c>
      <c r="E95" s="54"/>
      <c r="F95" s="57"/>
      <c r="G95" s="54"/>
      <c r="H95" s="57"/>
      <c r="I95" s="57"/>
      <c r="J95" s="57"/>
      <c r="K95" s="57"/>
      <c r="L95" s="57"/>
      <c r="M95" s="14" t="str">
        <f t="shared" ref="M95:Q95" si="122">IF(F95="","", LOOKUP(F95, $G$157:$G$220, H$157:H$220))</f>
        <v/>
      </c>
      <c r="N95" s="14" t="str">
        <f t="shared" si="122"/>
        <v/>
      </c>
      <c r="O95" s="14" t="str">
        <f t="shared" si="122"/>
        <v/>
      </c>
      <c r="P95" s="14" t="str">
        <f t="shared" si="122"/>
        <v/>
      </c>
      <c r="Q95" s="14" t="str">
        <f t="shared" si="122"/>
        <v/>
      </c>
      <c r="R95" s="14" t="str">
        <f t="shared" si="15"/>
        <v/>
      </c>
      <c r="S95" s="14" t="str">
        <f t="shared" si="16"/>
        <v/>
      </c>
      <c r="T95" s="14"/>
      <c r="U95" s="57" t="str">
        <f t="shared" ref="U95:U97" si="124">IF(S95="", "", IF(S96="", S95-L95-1-S97, S95-L95-1-S96))</f>
        <v/>
      </c>
      <c r="V95" s="14"/>
      <c r="W95" s="14"/>
      <c r="X95" s="47" t="s">
        <v>42</v>
      </c>
      <c r="Y95" s="14">
        <f>Y93+Y94</f>
        <v>-5.54</v>
      </c>
      <c r="Z95" s="14"/>
      <c r="AA95" s="47">
        <v>2.98</v>
      </c>
      <c r="AB95" s="47">
        <v>3.14</v>
      </c>
      <c r="AC95" s="47">
        <f t="shared" si="121"/>
        <v>-0.16</v>
      </c>
      <c r="AD95" s="14"/>
      <c r="AE95" s="14"/>
      <c r="AF95" s="14"/>
      <c r="AG95" s="14"/>
    </row>
    <row r="96" ht="12.75" customHeight="1">
      <c r="A96" s="47"/>
      <c r="B96" s="47"/>
      <c r="C96" s="47"/>
      <c r="E96" s="54"/>
      <c r="F96" s="57"/>
      <c r="G96" s="54"/>
      <c r="H96" s="57"/>
      <c r="I96" s="57"/>
      <c r="J96" s="54"/>
      <c r="K96" s="54"/>
      <c r="L96" s="57"/>
      <c r="M96" s="14" t="str">
        <f t="shared" ref="M96:Q96" si="123">IF(F96="","", LOOKUP(F96, $G$157:$G$220, H$157:H$220))</f>
        <v/>
      </c>
      <c r="N96" s="14" t="str">
        <f t="shared" si="123"/>
        <v/>
      </c>
      <c r="O96" s="14" t="str">
        <f t="shared" si="123"/>
        <v/>
      </c>
      <c r="P96" s="14" t="str">
        <f t="shared" si="123"/>
        <v/>
      </c>
      <c r="Q96" s="14" t="str">
        <f t="shared" si="123"/>
        <v/>
      </c>
      <c r="R96" s="14" t="str">
        <f t="shared" si="15"/>
        <v/>
      </c>
      <c r="S96" s="14" t="str">
        <f t="shared" si="16"/>
        <v/>
      </c>
      <c r="T96" s="14"/>
      <c r="U96" s="57" t="str">
        <f t="shared" si="124"/>
        <v/>
      </c>
      <c r="V96" s="14"/>
      <c r="W96" s="47"/>
      <c r="X96" s="47"/>
      <c r="Y96" s="14"/>
      <c r="Z96" s="14"/>
      <c r="AA96" s="47">
        <v>2.8</v>
      </c>
      <c r="AB96" s="47">
        <v>2.8</v>
      </c>
      <c r="AC96" s="47">
        <f t="shared" si="121"/>
        <v>0</v>
      </c>
      <c r="AD96" s="47"/>
      <c r="AE96" s="47"/>
      <c r="AF96" s="14"/>
      <c r="AG96" s="14"/>
    </row>
    <row r="97" ht="12.75" customHeight="1">
      <c r="A97" s="47"/>
      <c r="B97" s="47"/>
      <c r="C97" s="47"/>
      <c r="D97" s="47" t="s">
        <v>35</v>
      </c>
      <c r="E97" s="55"/>
      <c r="F97" s="58"/>
      <c r="G97" s="58"/>
      <c r="H97" s="58"/>
      <c r="I97" s="58"/>
      <c r="J97" s="58"/>
      <c r="K97" s="55"/>
      <c r="L97" s="58"/>
      <c r="M97" s="14" t="str">
        <f t="shared" ref="M97:Q97" si="125">IF(F97="","", LOOKUP(F97, $G$157:$G$220, H$157:H$220))</f>
        <v/>
      </c>
      <c r="N97" s="14" t="str">
        <f t="shared" si="125"/>
        <v/>
      </c>
      <c r="O97" s="14" t="str">
        <f t="shared" si="125"/>
        <v/>
      </c>
      <c r="P97" s="14" t="str">
        <f t="shared" si="125"/>
        <v/>
      </c>
      <c r="Q97" s="14" t="str">
        <f t="shared" si="125"/>
        <v/>
      </c>
      <c r="R97" s="14" t="str">
        <f t="shared" si="15"/>
        <v/>
      </c>
      <c r="S97" s="14" t="str">
        <f t="shared" si="16"/>
        <v/>
      </c>
      <c r="T97" s="14"/>
      <c r="U97" s="58" t="str">
        <f t="shared" si="124"/>
        <v/>
      </c>
      <c r="V97" s="14"/>
      <c r="W97" s="14"/>
      <c r="X97" s="14"/>
      <c r="Y97" s="47"/>
      <c r="Z97" s="14"/>
      <c r="AA97" s="14"/>
      <c r="AB97" s="14"/>
      <c r="AC97" s="14">
        <f>SUM(AC73:AC96)</f>
        <v>0.3</v>
      </c>
      <c r="AD97" s="47">
        <v>2.03</v>
      </c>
      <c r="AE97" s="14">
        <f>AC97+AD97</f>
        <v>2.33</v>
      </c>
      <c r="AF97" s="14"/>
      <c r="AG97" s="14"/>
    </row>
    <row r="98" ht="12.75" customHeight="1">
      <c r="A98" s="47"/>
      <c r="B98" s="47"/>
      <c r="C98" s="47"/>
      <c r="D98" s="47" t="s">
        <v>22</v>
      </c>
      <c r="E98" s="59"/>
      <c r="F98" s="59"/>
      <c r="G98" s="59"/>
      <c r="H98" s="59"/>
      <c r="I98" s="59"/>
      <c r="J98" s="59"/>
      <c r="K98" s="56"/>
      <c r="L98" s="59"/>
      <c r="M98" s="14" t="str">
        <f t="shared" ref="M98:Q98" si="126">IF(F98="","", LOOKUP(F98, $G$157:$G$220, H$157:H$220))</f>
        <v/>
      </c>
      <c r="N98" s="14" t="str">
        <f t="shared" si="126"/>
        <v/>
      </c>
      <c r="O98" s="14" t="str">
        <f t="shared" si="126"/>
        <v/>
      </c>
      <c r="P98" s="14" t="str">
        <f t="shared" si="126"/>
        <v/>
      </c>
      <c r="Q98" s="14" t="str">
        <f t="shared" si="126"/>
        <v/>
      </c>
      <c r="R98" s="14" t="str">
        <f t="shared" si="15"/>
        <v/>
      </c>
      <c r="S98" s="14" t="str">
        <f t="shared" si="16"/>
        <v/>
      </c>
      <c r="T98" s="14"/>
      <c r="U98" s="59" t="str">
        <f t="shared" ref="U98:U100" si="128">IF(S98="", "", S98-L98-1-S99)</f>
        <v/>
      </c>
      <c r="V98" s="14"/>
      <c r="W98" s="14"/>
      <c r="X98" s="14"/>
      <c r="Y98" s="14"/>
      <c r="Z98" s="14"/>
      <c r="AA98" s="14"/>
      <c r="AB98" s="14"/>
      <c r="AC98" s="47"/>
      <c r="AD98" s="14"/>
      <c r="AE98" s="14"/>
      <c r="AF98" s="14"/>
      <c r="AG98" s="14"/>
    </row>
    <row r="99" ht="12.75" customHeight="1">
      <c r="A99" s="14"/>
      <c r="B99" s="14"/>
      <c r="C99" s="14"/>
      <c r="D99" s="14"/>
      <c r="E99" s="59"/>
      <c r="F99" s="59"/>
      <c r="G99" s="59"/>
      <c r="H99" s="59"/>
      <c r="I99" s="59"/>
      <c r="J99" s="59"/>
      <c r="K99" s="56"/>
      <c r="L99" s="60"/>
      <c r="M99" s="14" t="str">
        <f t="shared" ref="M99:Q99" si="127">IF(F99="","", LOOKUP(F99, $G$157:$G$220, H$157:H$220))</f>
        <v/>
      </c>
      <c r="N99" s="14" t="str">
        <f t="shared" si="127"/>
        <v/>
      </c>
      <c r="O99" s="14" t="str">
        <f t="shared" si="127"/>
        <v/>
      </c>
      <c r="P99" s="14" t="str">
        <f t="shared" si="127"/>
        <v/>
      </c>
      <c r="Q99" s="14" t="str">
        <f t="shared" si="127"/>
        <v/>
      </c>
      <c r="R99" s="14" t="str">
        <f t="shared" si="15"/>
        <v/>
      </c>
      <c r="S99" s="14" t="str">
        <f t="shared" si="16"/>
        <v/>
      </c>
      <c r="T99" s="14"/>
      <c r="U99" s="59" t="str">
        <f t="shared" si="128"/>
        <v/>
      </c>
      <c r="V99" s="14"/>
      <c r="W99" s="14"/>
      <c r="X99" s="14"/>
      <c r="Y99" s="14"/>
      <c r="Z99" s="14"/>
      <c r="AA99" s="14"/>
      <c r="AB99" s="14"/>
      <c r="AC99" s="47"/>
      <c r="AD99" s="14"/>
      <c r="AE99" s="14"/>
      <c r="AF99" s="14"/>
      <c r="AG99" s="14"/>
    </row>
    <row r="100" ht="12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 t="str">
        <f t="shared" ref="M100:Q100" si="129">IF(F100="","", LOOKUP(F100, $G$157:$G$220, H$157:H$220))</f>
        <v/>
      </c>
      <c r="N100" s="14" t="str">
        <f t="shared" si="129"/>
        <v/>
      </c>
      <c r="O100" s="14" t="str">
        <f t="shared" si="129"/>
        <v/>
      </c>
      <c r="P100" s="14" t="str">
        <f t="shared" si="129"/>
        <v/>
      </c>
      <c r="Q100" s="14" t="str">
        <f t="shared" si="129"/>
        <v/>
      </c>
      <c r="R100" s="14" t="str">
        <f t="shared" si="15"/>
        <v/>
      </c>
      <c r="S100" s="14" t="str">
        <f t="shared" si="16"/>
        <v/>
      </c>
      <c r="T100" s="14"/>
      <c r="U100" s="14" t="str">
        <f t="shared" si="128"/>
        <v/>
      </c>
      <c r="V100" s="14"/>
      <c r="W100" s="14"/>
      <c r="X100" s="14"/>
      <c r="Y100" s="14"/>
      <c r="Z100" s="14"/>
      <c r="AA100" s="14"/>
      <c r="AB100" s="14"/>
      <c r="AC100" s="47"/>
      <c r="AD100" s="14"/>
      <c r="AE100" s="14"/>
      <c r="AF100" s="14"/>
      <c r="AG100" s="14"/>
    </row>
    <row r="101" ht="12.75" customHeight="1">
      <c r="A101" s="47"/>
      <c r="B101" s="47"/>
      <c r="C101" s="47"/>
      <c r="D101" s="47" t="s">
        <v>19</v>
      </c>
      <c r="E101" s="49">
        <v>14.0</v>
      </c>
      <c r="F101" s="49"/>
      <c r="G101" s="53"/>
      <c r="H101" s="53"/>
      <c r="I101" s="53"/>
      <c r="J101" s="53"/>
      <c r="K101" s="53"/>
      <c r="L101" s="53"/>
      <c r="M101" s="14" t="str">
        <f t="shared" ref="M101:Q101" si="130">IF(F101="","", LOOKUP(F101, $G$157:$G$220, H$157:H$220))</f>
        <v/>
      </c>
      <c r="N101" s="14" t="str">
        <f t="shared" si="130"/>
        <v/>
      </c>
      <c r="O101" s="14" t="str">
        <f t="shared" si="130"/>
        <v/>
      </c>
      <c r="P101" s="14" t="str">
        <f t="shared" si="130"/>
        <v/>
      </c>
      <c r="Q101" s="14" t="str">
        <f t="shared" si="130"/>
        <v/>
      </c>
      <c r="R101" s="14" t="str">
        <f t="shared" si="15"/>
        <v/>
      </c>
      <c r="S101" s="14" t="str">
        <f t="shared" si="16"/>
        <v/>
      </c>
      <c r="T101" s="14"/>
      <c r="U101" s="53" t="str">
        <f>IF(S101="", "", IF(S102="", IF(S103="",S101-L101-1-S104, S101-L101-1-S103), S101-L101-1-S102))</f>
        <v/>
      </c>
      <c r="V101" s="14"/>
      <c r="W101" s="47" t="s">
        <v>3</v>
      </c>
      <c r="X101" s="14"/>
      <c r="Y101" s="14"/>
      <c r="Z101" s="14"/>
      <c r="AA101" s="47" t="s">
        <v>4</v>
      </c>
      <c r="AB101" s="14"/>
      <c r="AC101" s="14"/>
      <c r="AD101" s="14"/>
      <c r="AE101" s="14"/>
      <c r="AF101" s="14"/>
      <c r="AG101" s="14"/>
    </row>
    <row r="102" ht="12.75" customHeight="1">
      <c r="A102" s="47"/>
      <c r="B102" s="47"/>
      <c r="C102" s="47"/>
      <c r="D102" s="47" t="s">
        <v>33</v>
      </c>
      <c r="E102" s="54"/>
      <c r="F102" s="54"/>
      <c r="G102" s="57"/>
      <c r="H102" s="57"/>
      <c r="I102" s="57"/>
      <c r="J102" s="57"/>
      <c r="K102" s="54"/>
      <c r="L102" s="57"/>
      <c r="M102" s="14" t="str">
        <f t="shared" ref="M102:Q102" si="131">IF(F102="","", LOOKUP(F102, $G$157:$G$220, H$157:H$220))</f>
        <v/>
      </c>
      <c r="N102" s="14" t="str">
        <f t="shared" si="131"/>
        <v/>
      </c>
      <c r="O102" s="14" t="str">
        <f t="shared" si="131"/>
        <v/>
      </c>
      <c r="P102" s="14" t="str">
        <f t="shared" si="131"/>
        <v/>
      </c>
      <c r="Q102" s="14" t="str">
        <f t="shared" si="131"/>
        <v/>
      </c>
      <c r="R102" s="14" t="str">
        <f t="shared" si="15"/>
        <v/>
      </c>
      <c r="S102" s="14" t="str">
        <f t="shared" si="16"/>
        <v/>
      </c>
      <c r="T102" s="14"/>
      <c r="U102" s="57" t="str">
        <f t="shared" ref="U102:U104" si="133">IF(S102="", "", IF(S103="", S102-L102-1-S104, S102-L102-1-S103))</f>
        <v/>
      </c>
      <c r="V102" s="14"/>
      <c r="W102" s="47">
        <v>2.59</v>
      </c>
      <c r="X102" s="47">
        <v>2.84</v>
      </c>
      <c r="Y102" s="14">
        <f t="shared" ref="Y102:Y103" si="134">W102-X102</f>
        <v>-0.25</v>
      </c>
      <c r="Z102" s="14"/>
      <c r="AA102" s="47">
        <v>1.84</v>
      </c>
      <c r="AB102" s="47">
        <v>2.0</v>
      </c>
      <c r="AC102" s="14">
        <f t="shared" ref="AC102:AC103" si="135">AA102-AB102</f>
        <v>-0.16</v>
      </c>
      <c r="AD102" s="47"/>
      <c r="AE102" s="47"/>
      <c r="AF102" s="14"/>
      <c r="AG102" s="14"/>
    </row>
    <row r="103" ht="12.75" customHeight="1">
      <c r="A103" s="47"/>
      <c r="B103" s="47"/>
      <c r="C103" s="47"/>
      <c r="E103" s="54"/>
      <c r="F103" s="54"/>
      <c r="G103" s="57"/>
      <c r="H103" s="57"/>
      <c r="I103" s="57"/>
      <c r="J103" s="57"/>
      <c r="K103" s="54"/>
      <c r="L103" s="57"/>
      <c r="M103" s="14" t="str">
        <f t="shared" ref="M103:Q103" si="132">IF(F103="","", LOOKUP(F103, $G$157:$G$220, H$157:H$220))</f>
        <v/>
      </c>
      <c r="N103" s="14" t="str">
        <f t="shared" si="132"/>
        <v/>
      </c>
      <c r="O103" s="14" t="str">
        <f t="shared" si="132"/>
        <v/>
      </c>
      <c r="P103" s="14" t="str">
        <f t="shared" si="132"/>
        <v/>
      </c>
      <c r="Q103" s="14" t="str">
        <f t="shared" si="132"/>
        <v/>
      </c>
      <c r="R103" s="14" t="str">
        <f t="shared" si="15"/>
        <v/>
      </c>
      <c r="S103" s="14" t="str">
        <f t="shared" si="16"/>
        <v/>
      </c>
      <c r="T103" s="14"/>
      <c r="U103" s="57" t="str">
        <f t="shared" si="133"/>
        <v/>
      </c>
      <c r="V103" s="14"/>
      <c r="W103" s="47">
        <v>2.4</v>
      </c>
      <c r="X103" s="47">
        <v>2.23</v>
      </c>
      <c r="Y103" s="14">
        <f t="shared" si="134"/>
        <v>0.17</v>
      </c>
      <c r="Z103" s="47"/>
      <c r="AA103" s="47">
        <v>1.23</v>
      </c>
      <c r="AB103" s="47">
        <v>2.0</v>
      </c>
      <c r="AC103" s="14">
        <f t="shared" si="135"/>
        <v>-0.77</v>
      </c>
      <c r="AD103" s="14"/>
      <c r="AE103" s="14"/>
      <c r="AF103" s="14"/>
      <c r="AG103" s="14"/>
    </row>
    <row r="104" ht="12.75" customHeight="1">
      <c r="A104" s="47"/>
      <c r="B104" s="47"/>
      <c r="C104" s="47"/>
      <c r="D104" s="47" t="s">
        <v>35</v>
      </c>
      <c r="E104" s="58"/>
      <c r="F104" s="58"/>
      <c r="G104" s="58"/>
      <c r="H104" s="58"/>
      <c r="I104" s="58"/>
      <c r="J104" s="58"/>
      <c r="K104" s="58"/>
      <c r="L104" s="58"/>
      <c r="M104" s="14" t="str">
        <f t="shared" ref="M104:Q104" si="136">IF(F104="","", LOOKUP(F104, $G$157:$G$220, H$157:H$220))</f>
        <v/>
      </c>
      <c r="N104" s="14" t="str">
        <f t="shared" si="136"/>
        <v/>
      </c>
      <c r="O104" s="14" t="str">
        <f t="shared" si="136"/>
        <v/>
      </c>
      <c r="P104" s="14" t="str">
        <f t="shared" si="136"/>
        <v/>
      </c>
      <c r="Q104" s="14" t="str">
        <f t="shared" si="136"/>
        <v/>
      </c>
      <c r="R104" s="14" t="str">
        <f t="shared" si="15"/>
        <v/>
      </c>
      <c r="S104" s="14" t="str">
        <f t="shared" si="16"/>
        <v/>
      </c>
      <c r="T104" s="14"/>
      <c r="U104" s="58" t="str">
        <f t="shared" si="133"/>
        <v/>
      </c>
      <c r="V104" s="14"/>
      <c r="W104" s="47"/>
      <c r="X104" s="47"/>
      <c r="Y104" s="14"/>
      <c r="Z104" s="14"/>
      <c r="AA104" s="47"/>
      <c r="AB104" s="47"/>
      <c r="AC104" s="14"/>
      <c r="AD104" s="14"/>
      <c r="AE104" s="14"/>
      <c r="AF104" s="14"/>
      <c r="AG104" s="14"/>
    </row>
    <row r="105" ht="12.75" customHeight="1">
      <c r="A105" s="47"/>
      <c r="B105" s="47"/>
      <c r="C105" s="47"/>
      <c r="D105" s="47" t="s">
        <v>22</v>
      </c>
      <c r="E105" s="59"/>
      <c r="F105" s="59"/>
      <c r="G105" s="59"/>
      <c r="H105" s="59"/>
      <c r="I105" s="59"/>
      <c r="J105" s="59"/>
      <c r="K105" s="56"/>
      <c r="L105" s="59"/>
      <c r="M105" s="14" t="str">
        <f t="shared" ref="M105:Q105" si="137">IF(F105="","", LOOKUP(F105, $G$157:$G$220, H$157:H$220))</f>
        <v/>
      </c>
      <c r="N105" s="14" t="str">
        <f t="shared" si="137"/>
        <v/>
      </c>
      <c r="O105" s="14" t="str">
        <f t="shared" si="137"/>
        <v/>
      </c>
      <c r="P105" s="14" t="str">
        <f t="shared" si="137"/>
        <v/>
      </c>
      <c r="Q105" s="14" t="str">
        <f t="shared" si="137"/>
        <v/>
      </c>
      <c r="R105" s="14" t="str">
        <f t="shared" si="15"/>
        <v/>
      </c>
      <c r="S105" s="14" t="str">
        <f t="shared" si="16"/>
        <v/>
      </c>
      <c r="T105" s="14"/>
      <c r="U105" s="59" t="str">
        <f t="shared" ref="U105:U107" si="139">IF(S105="", "", S105-L105-1-S106)</f>
        <v/>
      </c>
      <c r="V105" s="14"/>
      <c r="W105" s="47"/>
      <c r="X105" s="47"/>
      <c r="Y105" s="14"/>
      <c r="Z105" s="14"/>
      <c r="AA105" s="47"/>
      <c r="AB105" s="47"/>
      <c r="AC105" s="14"/>
      <c r="AD105" s="14"/>
      <c r="AE105" s="14"/>
      <c r="AF105" s="14"/>
      <c r="AG105" s="14"/>
    </row>
    <row r="106" ht="12.75" customHeight="1">
      <c r="A106" s="14"/>
      <c r="B106" s="14"/>
      <c r="C106" s="14"/>
      <c r="D106" s="14"/>
      <c r="E106" s="59"/>
      <c r="F106" s="59"/>
      <c r="G106" s="59"/>
      <c r="H106" s="59"/>
      <c r="I106" s="59"/>
      <c r="J106" s="59"/>
      <c r="K106" s="56"/>
      <c r="L106" s="60"/>
      <c r="M106" s="14" t="str">
        <f t="shared" ref="M106:Q106" si="138">IF(F106="","", LOOKUP(F106, $G$157:$G$220, H$157:H$220))</f>
        <v/>
      </c>
      <c r="N106" s="14" t="str">
        <f t="shared" si="138"/>
        <v/>
      </c>
      <c r="O106" s="14" t="str">
        <f t="shared" si="138"/>
        <v/>
      </c>
      <c r="P106" s="14" t="str">
        <f t="shared" si="138"/>
        <v/>
      </c>
      <c r="Q106" s="14" t="str">
        <f t="shared" si="138"/>
        <v/>
      </c>
      <c r="R106" s="14" t="str">
        <f t="shared" si="15"/>
        <v/>
      </c>
      <c r="S106" s="14" t="str">
        <f t="shared" si="16"/>
        <v/>
      </c>
      <c r="T106" s="14"/>
      <c r="U106" s="59" t="str">
        <f t="shared" si="139"/>
        <v/>
      </c>
      <c r="V106" s="14"/>
      <c r="W106" s="47"/>
      <c r="X106" s="47"/>
      <c r="Y106" s="14"/>
      <c r="Z106" s="14"/>
      <c r="AA106" s="47"/>
      <c r="AB106" s="47"/>
      <c r="AC106" s="14"/>
      <c r="AD106" s="14"/>
      <c r="AE106" s="14"/>
      <c r="AF106" s="14"/>
      <c r="AG106" s="14"/>
    </row>
    <row r="107" ht="12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 t="str">
        <f t="shared" ref="M107:Q107" si="140">IF(F107="","", LOOKUP(F107, $G$157:$G$220, H$157:H$220))</f>
        <v/>
      </c>
      <c r="N107" s="14" t="str">
        <f t="shared" si="140"/>
        <v/>
      </c>
      <c r="O107" s="14" t="str">
        <f t="shared" si="140"/>
        <v/>
      </c>
      <c r="P107" s="14" t="str">
        <f t="shared" si="140"/>
        <v/>
      </c>
      <c r="Q107" s="14" t="str">
        <f t="shared" si="140"/>
        <v/>
      </c>
      <c r="R107" s="14" t="str">
        <f t="shared" si="15"/>
        <v/>
      </c>
      <c r="S107" s="14" t="str">
        <f t="shared" si="16"/>
        <v/>
      </c>
      <c r="T107" s="14"/>
      <c r="U107" s="14" t="str">
        <f t="shared" si="139"/>
        <v/>
      </c>
      <c r="V107" s="14"/>
      <c r="W107" s="47">
        <v>2.4</v>
      </c>
      <c r="X107" s="47">
        <v>2.04</v>
      </c>
      <c r="Y107" s="14">
        <f t="shared" ref="Y107:Y111" si="142">W107-X107</f>
        <v>0.36</v>
      </c>
      <c r="Z107" s="14"/>
      <c r="AA107" s="47">
        <v>1.56</v>
      </c>
      <c r="AB107" s="47">
        <v>2.0</v>
      </c>
      <c r="AC107" s="14">
        <f t="shared" ref="AC107:AC111" si="143">AA107-AB107</f>
        <v>-0.44</v>
      </c>
      <c r="AD107" s="14"/>
      <c r="AE107" s="14"/>
      <c r="AF107" s="14"/>
      <c r="AG107" s="14"/>
    </row>
    <row r="108" ht="12.75" customHeight="1">
      <c r="A108" s="47"/>
      <c r="B108" s="47"/>
      <c r="C108" s="47"/>
      <c r="D108" s="47" t="s">
        <v>19</v>
      </c>
      <c r="E108" s="49">
        <v>15.0</v>
      </c>
      <c r="F108" s="49"/>
      <c r="G108" s="53"/>
      <c r="H108" s="53"/>
      <c r="I108" s="53"/>
      <c r="J108" s="53"/>
      <c r="K108" s="53"/>
      <c r="L108" s="53"/>
      <c r="M108" s="14" t="str">
        <f t="shared" ref="M108:Q108" si="141">IF(F108="","", LOOKUP(F108, $G$157:$G$220, H$157:H$220))</f>
        <v/>
      </c>
      <c r="N108" s="14" t="str">
        <f t="shared" si="141"/>
        <v/>
      </c>
      <c r="O108" s="14" t="str">
        <f t="shared" si="141"/>
        <v/>
      </c>
      <c r="P108" s="14" t="str">
        <f t="shared" si="141"/>
        <v/>
      </c>
      <c r="Q108" s="14" t="str">
        <f t="shared" si="141"/>
        <v/>
      </c>
      <c r="R108" s="14" t="str">
        <f t="shared" si="15"/>
        <v/>
      </c>
      <c r="S108" s="14" t="str">
        <f t="shared" si="16"/>
        <v/>
      </c>
      <c r="T108" s="14"/>
      <c r="U108" s="53" t="str">
        <f>IF(S108="", "", IF(S109="", IF(S110="",S108-L108-1-S111, S108-L108-1-S110), S108-L108-1-S109))</f>
        <v/>
      </c>
      <c r="V108" s="14"/>
      <c r="W108" s="47">
        <v>2.65</v>
      </c>
      <c r="X108" s="47">
        <v>2.73</v>
      </c>
      <c r="Y108" s="14">
        <f t="shared" si="142"/>
        <v>-0.08</v>
      </c>
      <c r="Z108" s="14"/>
      <c r="AA108" s="47">
        <v>2.06</v>
      </c>
      <c r="AB108" s="47">
        <v>3.0</v>
      </c>
      <c r="AC108" s="14">
        <f t="shared" si="143"/>
        <v>-0.94</v>
      </c>
      <c r="AD108" s="14"/>
      <c r="AE108" s="14"/>
      <c r="AF108" s="14"/>
      <c r="AG108" s="14"/>
    </row>
    <row r="109" ht="12.75" customHeight="1">
      <c r="A109" s="47"/>
      <c r="B109" s="47"/>
      <c r="C109" s="47"/>
      <c r="D109" s="47" t="s">
        <v>33</v>
      </c>
      <c r="E109" s="54"/>
      <c r="F109" s="57"/>
      <c r="G109" s="54"/>
      <c r="H109" s="54"/>
      <c r="I109" s="57"/>
      <c r="J109" s="57"/>
      <c r="K109" s="57"/>
      <c r="L109" s="57"/>
      <c r="M109" s="14" t="str">
        <f t="shared" ref="M109:Q109" si="144">IF(F109="","", LOOKUP(F109, $G$157:$G$220, H$157:H$220))</f>
        <v/>
      </c>
      <c r="N109" s="14" t="str">
        <f t="shared" si="144"/>
        <v/>
      </c>
      <c r="O109" s="14" t="str">
        <f t="shared" si="144"/>
        <v/>
      </c>
      <c r="P109" s="14" t="str">
        <f t="shared" si="144"/>
        <v/>
      </c>
      <c r="Q109" s="14" t="str">
        <f t="shared" si="144"/>
        <v/>
      </c>
      <c r="R109" s="14" t="str">
        <f t="shared" si="15"/>
        <v/>
      </c>
      <c r="S109" s="14" t="str">
        <f t="shared" si="16"/>
        <v/>
      </c>
      <c r="T109" s="14"/>
      <c r="U109" s="57" t="str">
        <f t="shared" ref="U109:U111" si="146">IF(S109="", "", IF(S110="", S109-L109-1-S111, S109-L109-1-S110))</f>
        <v/>
      </c>
      <c r="V109" s="14"/>
      <c r="W109" s="47">
        <v>2.78</v>
      </c>
      <c r="X109" s="47">
        <v>2.59</v>
      </c>
      <c r="Y109" s="14">
        <f t="shared" si="142"/>
        <v>0.19</v>
      </c>
      <c r="Z109" s="14"/>
      <c r="AA109" s="47">
        <v>1.04</v>
      </c>
      <c r="AB109" s="47">
        <v>2.0</v>
      </c>
      <c r="AC109" s="14">
        <f t="shared" si="143"/>
        <v>-0.96</v>
      </c>
      <c r="AD109" s="47"/>
      <c r="AE109" s="47"/>
      <c r="AF109" s="14"/>
      <c r="AG109" s="14"/>
    </row>
    <row r="110" ht="12.75" customHeight="1">
      <c r="A110" s="47"/>
      <c r="B110" s="47"/>
      <c r="C110" s="47"/>
      <c r="E110" s="54"/>
      <c r="F110" s="57"/>
      <c r="G110" s="54"/>
      <c r="H110" s="54"/>
      <c r="I110" s="57"/>
      <c r="J110" s="57"/>
      <c r="K110" s="57"/>
      <c r="L110" s="57"/>
      <c r="M110" s="14" t="str">
        <f t="shared" ref="M110:Q110" si="145">IF(F110="","", LOOKUP(F110, $G$157:$G$220, H$157:H$220))</f>
        <v/>
      </c>
      <c r="N110" s="14" t="str">
        <f t="shared" si="145"/>
        <v/>
      </c>
      <c r="O110" s="14" t="str">
        <f t="shared" si="145"/>
        <v/>
      </c>
      <c r="P110" s="14" t="str">
        <f t="shared" si="145"/>
        <v/>
      </c>
      <c r="Q110" s="14" t="str">
        <f t="shared" si="145"/>
        <v/>
      </c>
      <c r="R110" s="14" t="str">
        <f t="shared" si="15"/>
        <v/>
      </c>
      <c r="S110" s="14" t="str">
        <f t="shared" si="16"/>
        <v/>
      </c>
      <c r="T110" s="14"/>
      <c r="U110" s="57" t="str">
        <f t="shared" si="146"/>
        <v/>
      </c>
      <c r="V110" s="14"/>
      <c r="W110" s="47">
        <v>2.3</v>
      </c>
      <c r="X110" s="47">
        <v>2.67</v>
      </c>
      <c r="Y110" s="14">
        <f t="shared" si="142"/>
        <v>-0.37</v>
      </c>
      <c r="Z110" s="14"/>
      <c r="AA110" s="47">
        <v>2.06</v>
      </c>
      <c r="AB110" s="47">
        <v>2.0</v>
      </c>
      <c r="AC110" s="14">
        <f t="shared" si="143"/>
        <v>0.06</v>
      </c>
      <c r="AD110" s="14"/>
      <c r="AE110" s="47"/>
      <c r="AF110" s="14"/>
      <c r="AG110" s="14"/>
    </row>
    <row r="111" ht="12.75" customHeight="1">
      <c r="A111" s="47"/>
      <c r="B111" s="47"/>
      <c r="C111" s="47"/>
      <c r="D111" s="47" t="s">
        <v>35</v>
      </c>
      <c r="E111" s="55"/>
      <c r="F111" s="58"/>
      <c r="G111" s="55"/>
      <c r="H111" s="58"/>
      <c r="I111" s="58"/>
      <c r="J111" s="58"/>
      <c r="K111" s="55"/>
      <c r="L111" s="58"/>
      <c r="M111" s="14" t="str">
        <f t="shared" ref="M111:Q111" si="147">IF(F111="","", LOOKUP(F111, $G$157:$G$220, H$157:H$220))</f>
        <v/>
      </c>
      <c r="N111" s="14" t="str">
        <f t="shared" si="147"/>
        <v/>
      </c>
      <c r="O111" s="14" t="str">
        <f t="shared" si="147"/>
        <v/>
      </c>
      <c r="P111" s="14" t="str">
        <f t="shared" si="147"/>
        <v/>
      </c>
      <c r="Q111" s="14" t="str">
        <f t="shared" si="147"/>
        <v/>
      </c>
      <c r="R111" s="14" t="str">
        <f t="shared" si="15"/>
        <v/>
      </c>
      <c r="S111" s="14" t="str">
        <f t="shared" si="16"/>
        <v/>
      </c>
      <c r="T111" s="14"/>
      <c r="U111" s="58" t="str">
        <f t="shared" si="146"/>
        <v/>
      </c>
      <c r="V111" s="14"/>
      <c r="W111" s="47">
        <v>2.5</v>
      </c>
      <c r="X111" s="47">
        <v>2.34</v>
      </c>
      <c r="Y111" s="14">
        <f t="shared" si="142"/>
        <v>0.16</v>
      </c>
      <c r="Z111" s="47"/>
      <c r="AA111" s="47">
        <v>1.04</v>
      </c>
      <c r="AB111" s="47">
        <v>2.0</v>
      </c>
      <c r="AC111" s="14">
        <f t="shared" si="143"/>
        <v>-0.96</v>
      </c>
      <c r="AD111" s="14"/>
      <c r="AE111" s="14"/>
      <c r="AF111" s="14"/>
      <c r="AG111" s="14"/>
    </row>
    <row r="112" ht="12.75" customHeight="1">
      <c r="A112" s="47"/>
      <c r="B112" s="47"/>
      <c r="C112" s="47"/>
      <c r="D112" s="47" t="s">
        <v>22</v>
      </c>
      <c r="E112" s="59"/>
      <c r="F112" s="59"/>
      <c r="G112" s="59"/>
      <c r="H112" s="59"/>
      <c r="I112" s="59"/>
      <c r="J112" s="59"/>
      <c r="K112" s="56"/>
      <c r="L112" s="59"/>
      <c r="M112" s="14" t="str">
        <f t="shared" ref="M112:Q112" si="148">IF(F112="","", LOOKUP(F112, $G$157:$G$220, H$157:H$220))</f>
        <v/>
      </c>
      <c r="N112" s="14" t="str">
        <f t="shared" si="148"/>
        <v/>
      </c>
      <c r="O112" s="14" t="str">
        <f t="shared" si="148"/>
        <v/>
      </c>
      <c r="P112" s="14" t="str">
        <f t="shared" si="148"/>
        <v/>
      </c>
      <c r="Q112" s="14" t="str">
        <f t="shared" si="148"/>
        <v/>
      </c>
      <c r="R112" s="14" t="str">
        <f t="shared" si="15"/>
        <v/>
      </c>
      <c r="S112" s="14" t="str">
        <f t="shared" si="16"/>
        <v/>
      </c>
      <c r="T112" s="14"/>
      <c r="U112" s="59" t="str">
        <f t="shared" ref="U112:U114" si="150">IF(S112="", "", S112-L112-1-S113)</f>
        <v/>
      </c>
      <c r="V112" s="14"/>
      <c r="W112" s="47"/>
      <c r="X112" s="47"/>
      <c r="Y112" s="14"/>
      <c r="Z112" s="14"/>
      <c r="AA112" s="47"/>
      <c r="AB112" s="47"/>
      <c r="AC112" s="14"/>
      <c r="AD112" s="14"/>
      <c r="AE112" s="14"/>
      <c r="AF112" s="14"/>
      <c r="AG112" s="14"/>
    </row>
    <row r="113" ht="12.75" customHeight="1">
      <c r="A113" s="14"/>
      <c r="B113" s="14"/>
      <c r="C113" s="14"/>
      <c r="D113" s="14"/>
      <c r="E113" s="59"/>
      <c r="F113" s="59"/>
      <c r="G113" s="59"/>
      <c r="H113" s="59"/>
      <c r="I113" s="59"/>
      <c r="J113" s="59"/>
      <c r="K113" s="59"/>
      <c r="L113" s="60"/>
      <c r="M113" s="14" t="str">
        <f t="shared" ref="M113:Q113" si="149">IF(F113="","", LOOKUP(F113, $G$157:$G$220, H$157:H$220))</f>
        <v/>
      </c>
      <c r="N113" s="14" t="str">
        <f t="shared" si="149"/>
        <v/>
      </c>
      <c r="O113" s="14" t="str">
        <f t="shared" si="149"/>
        <v/>
      </c>
      <c r="P113" s="14" t="str">
        <f t="shared" si="149"/>
        <v/>
      </c>
      <c r="Q113" s="14" t="str">
        <f t="shared" si="149"/>
        <v/>
      </c>
      <c r="R113" s="14" t="str">
        <f t="shared" si="15"/>
        <v/>
      </c>
      <c r="S113" s="14" t="str">
        <f t="shared" si="16"/>
        <v/>
      </c>
      <c r="T113" s="14"/>
      <c r="U113" s="59" t="str">
        <f t="shared" si="150"/>
        <v/>
      </c>
      <c r="V113" s="14"/>
      <c r="W113" s="47"/>
      <c r="X113" s="47"/>
      <c r="Y113" s="14"/>
      <c r="Z113" s="14"/>
      <c r="AA113" s="47"/>
      <c r="AB113" s="47"/>
      <c r="AC113" s="14"/>
      <c r="AD113" s="14"/>
      <c r="AE113" s="14"/>
      <c r="AF113" s="14"/>
      <c r="AG113" s="14"/>
    </row>
    <row r="114" ht="12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 t="str">
        <f t="shared" ref="M114:Q114" si="151">IF(F114="","", LOOKUP(F114, $G$157:$G$220, H$157:H$220))</f>
        <v/>
      </c>
      <c r="N114" s="14" t="str">
        <f t="shared" si="151"/>
        <v/>
      </c>
      <c r="O114" s="14" t="str">
        <f t="shared" si="151"/>
        <v/>
      </c>
      <c r="P114" s="14" t="str">
        <f t="shared" si="151"/>
        <v/>
      </c>
      <c r="Q114" s="14" t="str">
        <f t="shared" si="151"/>
        <v/>
      </c>
      <c r="R114" s="14" t="str">
        <f t="shared" si="15"/>
        <v/>
      </c>
      <c r="S114" s="14" t="str">
        <f t="shared" si="16"/>
        <v/>
      </c>
      <c r="T114" s="14"/>
      <c r="U114" s="14" t="str">
        <f t="shared" si="150"/>
        <v/>
      </c>
      <c r="V114" s="14"/>
      <c r="W114" s="47">
        <v>2.4</v>
      </c>
      <c r="X114" s="47">
        <v>2.76</v>
      </c>
      <c r="Y114" s="14">
        <f>W114-X114</f>
        <v>-0.36</v>
      </c>
      <c r="Z114" s="14"/>
      <c r="AA114" s="47">
        <v>1.73</v>
      </c>
      <c r="AB114" s="47">
        <v>1.0</v>
      </c>
      <c r="AC114" s="14">
        <f t="shared" ref="AC114:AC117" si="153">AA114-AB114</f>
        <v>0.73</v>
      </c>
      <c r="AD114" s="14"/>
      <c r="AE114" s="14"/>
      <c r="AF114" s="14"/>
      <c r="AG114" s="14"/>
    </row>
    <row r="115" ht="12.75" customHeight="1">
      <c r="A115" s="47"/>
      <c r="B115" s="47"/>
      <c r="C115" s="47"/>
      <c r="D115" s="47" t="s">
        <v>19</v>
      </c>
      <c r="E115" s="49">
        <v>16.0</v>
      </c>
      <c r="F115" s="49"/>
      <c r="G115" s="53"/>
      <c r="H115" s="53"/>
      <c r="I115" s="53"/>
      <c r="J115" s="53"/>
      <c r="K115" s="49"/>
      <c r="L115" s="49"/>
      <c r="M115" s="14" t="str">
        <f t="shared" ref="M115:Q115" si="152">IF(F115="","", LOOKUP(F115, $G$157:$G$220, H$157:H$220))</f>
        <v/>
      </c>
      <c r="N115" s="14" t="str">
        <f t="shared" si="152"/>
        <v/>
      </c>
      <c r="O115" s="14" t="str">
        <f t="shared" si="152"/>
        <v/>
      </c>
      <c r="P115" s="14" t="str">
        <f t="shared" si="152"/>
        <v/>
      </c>
      <c r="Q115" s="14" t="str">
        <f t="shared" si="152"/>
        <v/>
      </c>
      <c r="R115" s="14" t="str">
        <f t="shared" si="15"/>
        <v/>
      </c>
      <c r="S115" s="14" t="str">
        <f t="shared" si="16"/>
        <v/>
      </c>
      <c r="T115" s="14"/>
      <c r="U115" s="53" t="str">
        <f>IF(S115="", "", IF(S116="", IF(S117="",S115-L115-1-S118, S115-L115-1-S117), S115-L115-1-S116))</f>
        <v/>
      </c>
      <c r="V115" s="14"/>
      <c r="W115" s="47"/>
      <c r="X115" s="47"/>
      <c r="Y115" s="14">
        <f>SUM(Y102:Y114)</f>
        <v>-0.18</v>
      </c>
      <c r="Z115" s="14"/>
      <c r="AA115" s="47">
        <v>1.59</v>
      </c>
      <c r="AB115" s="47">
        <v>1.0</v>
      </c>
      <c r="AC115" s="14">
        <f t="shared" si="153"/>
        <v>0.59</v>
      </c>
      <c r="AD115" s="47"/>
      <c r="AE115" s="47"/>
      <c r="AF115" s="14"/>
      <c r="AG115" s="14"/>
    </row>
    <row r="116" ht="12.75" customHeight="1">
      <c r="A116" s="47"/>
      <c r="B116" s="47"/>
      <c r="C116" s="47"/>
      <c r="D116" s="47" t="s">
        <v>33</v>
      </c>
      <c r="E116" s="54"/>
      <c r="F116" s="57"/>
      <c r="G116" s="57"/>
      <c r="H116" s="54"/>
      <c r="I116" s="57"/>
      <c r="J116" s="57"/>
      <c r="K116" s="57"/>
      <c r="L116" s="57"/>
      <c r="M116" s="14" t="str">
        <f t="shared" ref="M116:Q116" si="154">IF(F116="","", LOOKUP(F116, $G$157:$G$220, H$157:H$220))</f>
        <v/>
      </c>
      <c r="N116" s="14" t="str">
        <f t="shared" si="154"/>
        <v/>
      </c>
      <c r="O116" s="14" t="str">
        <f t="shared" si="154"/>
        <v/>
      </c>
      <c r="P116" s="14" t="str">
        <f t="shared" si="154"/>
        <v/>
      </c>
      <c r="Q116" s="14" t="str">
        <f t="shared" si="154"/>
        <v/>
      </c>
      <c r="R116" s="14" t="str">
        <f t="shared" si="15"/>
        <v/>
      </c>
      <c r="S116" s="14" t="str">
        <f t="shared" si="16"/>
        <v/>
      </c>
      <c r="T116" s="14"/>
      <c r="U116" s="57" t="str">
        <f t="shared" ref="U116:U118" si="156">IF(S116="", "", IF(S117="", S116-L116-1-S118, S116-L116-1-S117))</f>
        <v/>
      </c>
      <c r="V116" s="14"/>
      <c r="W116" s="14"/>
      <c r="X116" s="14"/>
      <c r="Y116" s="47">
        <v>0.39</v>
      </c>
      <c r="Z116" s="47"/>
      <c r="AA116" s="47">
        <v>1.67</v>
      </c>
      <c r="AB116" s="47">
        <v>2.0</v>
      </c>
      <c r="AC116" s="14">
        <f t="shared" si="153"/>
        <v>-0.33</v>
      </c>
      <c r="AD116" s="14"/>
      <c r="AE116" s="14"/>
      <c r="AF116" s="14"/>
      <c r="AG116" s="14"/>
    </row>
    <row r="117" ht="12.75" customHeight="1">
      <c r="A117" s="47"/>
      <c r="B117" s="47"/>
      <c r="C117" s="47"/>
      <c r="E117" s="54"/>
      <c r="F117" s="57"/>
      <c r="G117" s="57"/>
      <c r="H117" s="54"/>
      <c r="I117" s="57"/>
      <c r="J117" s="54"/>
      <c r="K117" s="54"/>
      <c r="L117" s="57"/>
      <c r="M117" s="14" t="str">
        <f t="shared" ref="M117:Q117" si="155">IF(F117="","", LOOKUP(F117, $G$157:$G$220, H$157:H$220))</f>
        <v/>
      </c>
      <c r="N117" s="14" t="str">
        <f t="shared" si="155"/>
        <v/>
      </c>
      <c r="O117" s="14" t="str">
        <f t="shared" si="155"/>
        <v/>
      </c>
      <c r="P117" s="14" t="str">
        <f t="shared" si="155"/>
        <v/>
      </c>
      <c r="Q117" s="14" t="str">
        <f t="shared" si="155"/>
        <v/>
      </c>
      <c r="R117" s="14" t="str">
        <f t="shared" si="15"/>
        <v/>
      </c>
      <c r="S117" s="14" t="str">
        <f t="shared" si="16"/>
        <v/>
      </c>
      <c r="T117" s="14"/>
      <c r="U117" s="57" t="str">
        <f t="shared" si="156"/>
        <v/>
      </c>
      <c r="V117" s="14"/>
      <c r="W117" s="14"/>
      <c r="X117" s="14"/>
      <c r="Y117" s="14">
        <f>Y115+Y116</f>
        <v>0.21</v>
      </c>
      <c r="Z117" s="14"/>
      <c r="AA117" s="47">
        <v>1.34</v>
      </c>
      <c r="AB117" s="47">
        <v>2.0</v>
      </c>
      <c r="AC117" s="14">
        <f t="shared" si="153"/>
        <v>-0.66</v>
      </c>
      <c r="AD117" s="14"/>
      <c r="AE117" s="14"/>
      <c r="AF117" s="14"/>
      <c r="AG117" s="14"/>
    </row>
    <row r="118" ht="12.75" customHeight="1">
      <c r="A118" s="47"/>
      <c r="B118" s="47"/>
      <c r="C118" s="47"/>
      <c r="D118" s="47" t="s">
        <v>35</v>
      </c>
      <c r="E118" s="58"/>
      <c r="F118" s="58"/>
      <c r="G118" s="58"/>
      <c r="H118" s="58"/>
      <c r="I118" s="58"/>
      <c r="J118" s="58"/>
      <c r="K118" s="58"/>
      <c r="L118" s="58"/>
      <c r="M118" s="14" t="str">
        <f t="shared" ref="M118:Q118" si="157">IF(F118="","", LOOKUP(F118, $G$157:$G$220, H$157:H$220))</f>
        <v/>
      </c>
      <c r="N118" s="14" t="str">
        <f t="shared" si="157"/>
        <v/>
      </c>
      <c r="O118" s="14" t="str">
        <f t="shared" si="157"/>
        <v/>
      </c>
      <c r="P118" s="14" t="str">
        <f t="shared" si="157"/>
        <v/>
      </c>
      <c r="Q118" s="14" t="str">
        <f t="shared" si="157"/>
        <v/>
      </c>
      <c r="R118" s="14" t="str">
        <f t="shared" si="15"/>
        <v/>
      </c>
      <c r="S118" s="14" t="str">
        <f t="shared" si="16"/>
        <v/>
      </c>
      <c r="T118" s="14"/>
      <c r="U118" s="58" t="str">
        <f t="shared" si="156"/>
        <v/>
      </c>
      <c r="V118" s="14"/>
      <c r="W118" s="14"/>
      <c r="X118" s="14"/>
      <c r="Y118" s="14"/>
      <c r="Z118" s="14"/>
      <c r="AA118" s="47"/>
      <c r="AB118" s="47"/>
      <c r="AC118" s="14"/>
      <c r="AD118" s="14"/>
      <c r="AE118" s="14"/>
      <c r="AF118" s="14"/>
      <c r="AG118" s="14"/>
    </row>
    <row r="119" ht="12.75" customHeight="1">
      <c r="A119" s="47"/>
      <c r="B119" s="47"/>
      <c r="C119" s="47"/>
      <c r="D119" s="47" t="s">
        <v>22</v>
      </c>
      <c r="E119" s="59"/>
      <c r="F119" s="59"/>
      <c r="G119" s="59"/>
      <c r="H119" s="59"/>
      <c r="I119" s="59"/>
      <c r="J119" s="59"/>
      <c r="K119" s="56"/>
      <c r="L119" s="59"/>
      <c r="M119" s="14" t="str">
        <f t="shared" ref="M119:Q119" si="158">IF(F119="","", LOOKUP(F119, $G$157:$G$220, H$157:H$220))</f>
        <v/>
      </c>
      <c r="N119" s="14" t="str">
        <f t="shared" si="158"/>
        <v/>
      </c>
      <c r="O119" s="14" t="str">
        <f t="shared" si="158"/>
        <v/>
      </c>
      <c r="P119" s="14" t="str">
        <f t="shared" si="158"/>
        <v/>
      </c>
      <c r="Q119" s="14" t="str">
        <f t="shared" si="158"/>
        <v/>
      </c>
      <c r="R119" s="14" t="str">
        <f t="shared" si="15"/>
        <v/>
      </c>
      <c r="S119" s="14" t="str">
        <f t="shared" si="16"/>
        <v/>
      </c>
      <c r="T119" s="14"/>
      <c r="U119" s="59" t="str">
        <f t="shared" ref="U119:U121" si="160">IF(S119="", "", S119-L119-1-S120)</f>
        <v/>
      </c>
      <c r="V119" s="14"/>
      <c r="W119" s="14"/>
      <c r="X119" s="14"/>
      <c r="Y119" s="14"/>
      <c r="Z119" s="14"/>
      <c r="AA119" s="47"/>
      <c r="AB119" s="47"/>
      <c r="AC119" s="14"/>
      <c r="AD119" s="14"/>
      <c r="AE119" s="14"/>
      <c r="AF119" s="14"/>
      <c r="AG119" s="14"/>
    </row>
    <row r="120" ht="12.75" customHeight="1">
      <c r="A120" s="14"/>
      <c r="B120" s="14"/>
      <c r="C120" s="14"/>
      <c r="D120" s="14"/>
      <c r="E120" s="59"/>
      <c r="F120" s="59"/>
      <c r="G120" s="59"/>
      <c r="H120" s="59"/>
      <c r="I120" s="59"/>
      <c r="J120" s="59"/>
      <c r="K120" s="59"/>
      <c r="L120" s="60"/>
      <c r="M120" s="14" t="str">
        <f t="shared" ref="M120:Q120" si="159">IF(F120="","", LOOKUP(F120, $G$157:$G$220, H$157:H$220))</f>
        <v/>
      </c>
      <c r="N120" s="14" t="str">
        <f t="shared" si="159"/>
        <v/>
      </c>
      <c r="O120" s="14" t="str">
        <f t="shared" si="159"/>
        <v/>
      </c>
      <c r="P120" s="14" t="str">
        <f t="shared" si="159"/>
        <v/>
      </c>
      <c r="Q120" s="14" t="str">
        <f t="shared" si="159"/>
        <v/>
      </c>
      <c r="R120" s="14" t="str">
        <f t="shared" si="15"/>
        <v/>
      </c>
      <c r="S120" s="14" t="str">
        <f t="shared" si="16"/>
        <v/>
      </c>
      <c r="T120" s="14"/>
      <c r="U120" s="59" t="str">
        <f t="shared" si="160"/>
        <v/>
      </c>
      <c r="V120" s="14"/>
      <c r="W120" s="14"/>
      <c r="X120" s="14"/>
      <c r="Y120" s="14"/>
      <c r="Z120" s="14"/>
      <c r="AA120" s="47"/>
      <c r="AB120" s="47"/>
      <c r="AC120" s="14"/>
      <c r="AD120" s="14"/>
      <c r="AE120" s="14"/>
      <c r="AF120" s="14"/>
      <c r="AG120" s="14"/>
    </row>
    <row r="121" ht="12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 t="str">
        <f t="shared" ref="M121:Q121" si="161">IF(F121="","", LOOKUP(F121, $G$157:$G$220, H$157:H$220))</f>
        <v/>
      </c>
      <c r="N121" s="14" t="str">
        <f t="shared" si="161"/>
        <v/>
      </c>
      <c r="O121" s="14" t="str">
        <f t="shared" si="161"/>
        <v/>
      </c>
      <c r="P121" s="14" t="str">
        <f t="shared" si="161"/>
        <v/>
      </c>
      <c r="Q121" s="14" t="str">
        <f t="shared" si="161"/>
        <v/>
      </c>
      <c r="R121" s="14" t="str">
        <f t="shared" si="15"/>
        <v/>
      </c>
      <c r="S121" s="14" t="str">
        <f t="shared" si="16"/>
        <v/>
      </c>
      <c r="T121" s="14"/>
      <c r="U121" s="14" t="str">
        <f t="shared" si="160"/>
        <v/>
      </c>
      <c r="V121" s="14"/>
      <c r="W121" s="14"/>
      <c r="X121" s="14"/>
      <c r="Y121" s="14"/>
      <c r="Z121" s="14"/>
      <c r="AA121" s="47">
        <v>2.06</v>
      </c>
      <c r="AB121" s="47">
        <v>3.0</v>
      </c>
      <c r="AC121" s="14">
        <f t="shared" ref="AC121:AC125" si="163">AA121-AB121</f>
        <v>-0.94</v>
      </c>
      <c r="AD121" s="14"/>
      <c r="AE121" s="14"/>
      <c r="AF121" s="14"/>
      <c r="AG121" s="14"/>
    </row>
    <row r="122" ht="12.75" customHeight="1">
      <c r="A122" s="47"/>
      <c r="B122" s="47"/>
      <c r="C122" s="47"/>
      <c r="D122" s="47" t="s">
        <v>19</v>
      </c>
      <c r="E122" s="49">
        <v>17.0</v>
      </c>
      <c r="F122" s="49"/>
      <c r="G122" s="53"/>
      <c r="H122" s="53"/>
      <c r="I122" s="53"/>
      <c r="J122" s="53"/>
      <c r="K122" s="53"/>
      <c r="L122" s="53"/>
      <c r="M122" s="14" t="str">
        <f t="shared" ref="M122:Q122" si="162">IF(F122="","", LOOKUP(F122, $G$157:$G$220, H$157:H$220))</f>
        <v/>
      </c>
      <c r="N122" s="14" t="str">
        <f t="shared" si="162"/>
        <v/>
      </c>
      <c r="O122" s="14" t="str">
        <f t="shared" si="162"/>
        <v/>
      </c>
      <c r="P122" s="14" t="str">
        <f t="shared" si="162"/>
        <v/>
      </c>
      <c r="Q122" s="14" t="str">
        <f t="shared" si="162"/>
        <v/>
      </c>
      <c r="R122" s="14" t="str">
        <f t="shared" si="15"/>
        <v/>
      </c>
      <c r="S122" s="14" t="str">
        <f t="shared" si="16"/>
        <v/>
      </c>
      <c r="T122" s="14"/>
      <c r="U122" s="53" t="str">
        <f>IF(S122="", "", IF(S123="", IF(S124="",S122-L122-1-S125, S122-L122-1-S124), S122-L122-1-S123))</f>
        <v/>
      </c>
      <c r="V122" s="14"/>
      <c r="W122" s="47"/>
      <c r="X122" s="47"/>
      <c r="Y122" s="14"/>
      <c r="Z122" s="14"/>
      <c r="AA122" s="47">
        <v>1.84</v>
      </c>
      <c r="AB122" s="47">
        <v>2.0</v>
      </c>
      <c r="AC122" s="14">
        <f t="shared" si="163"/>
        <v>-0.16</v>
      </c>
      <c r="AD122" s="47"/>
      <c r="AE122" s="47"/>
      <c r="AF122" s="14"/>
      <c r="AG122" s="14"/>
    </row>
    <row r="123" ht="12.75" customHeight="1">
      <c r="A123" s="47"/>
      <c r="B123" s="47"/>
      <c r="C123" s="47"/>
      <c r="D123" s="47" t="s">
        <v>33</v>
      </c>
      <c r="E123" s="54"/>
      <c r="F123" s="57"/>
      <c r="G123" s="54"/>
      <c r="H123" s="57"/>
      <c r="I123" s="57"/>
      <c r="J123" s="57"/>
      <c r="K123" s="57"/>
      <c r="L123" s="57"/>
      <c r="M123" s="14" t="str">
        <f t="shared" ref="M123:Q123" si="164">IF(F123="","", LOOKUP(F123, $G$157:$G$220, H$157:H$220))</f>
        <v/>
      </c>
      <c r="N123" s="14" t="str">
        <f t="shared" si="164"/>
        <v/>
      </c>
      <c r="O123" s="14" t="str">
        <f t="shared" si="164"/>
        <v/>
      </c>
      <c r="P123" s="14" t="str">
        <f t="shared" si="164"/>
        <v/>
      </c>
      <c r="Q123" s="14" t="str">
        <f t="shared" si="164"/>
        <v/>
      </c>
      <c r="R123" s="14" t="str">
        <f t="shared" si="15"/>
        <v/>
      </c>
      <c r="S123" s="14" t="str">
        <f t="shared" si="16"/>
        <v/>
      </c>
      <c r="T123" s="14"/>
      <c r="U123" s="57" t="str">
        <f t="shared" ref="U123:U125" si="166">IF(S123="", "", IF(S124="", S123-L123-1-S125, S123-L123-1-S124))</f>
        <v/>
      </c>
      <c r="V123" s="14"/>
      <c r="W123" s="14"/>
      <c r="X123" s="47"/>
      <c r="Y123" s="14"/>
      <c r="Z123" s="14"/>
      <c r="AA123" s="47">
        <v>1.75</v>
      </c>
      <c r="AB123" s="47">
        <v>2.0</v>
      </c>
      <c r="AC123" s="14">
        <f t="shared" si="163"/>
        <v>-0.25</v>
      </c>
      <c r="AD123" s="14"/>
      <c r="AE123" s="47"/>
      <c r="AF123" s="14"/>
      <c r="AG123" s="14"/>
    </row>
    <row r="124" ht="12.75" customHeight="1">
      <c r="A124" s="47"/>
      <c r="B124" s="47"/>
      <c r="C124" s="47"/>
      <c r="E124" s="54"/>
      <c r="F124" s="57"/>
      <c r="G124" s="54"/>
      <c r="H124" s="57"/>
      <c r="I124" s="57"/>
      <c r="J124" s="57"/>
      <c r="K124" s="54"/>
      <c r="L124" s="57"/>
      <c r="M124" s="14" t="str">
        <f t="shared" ref="M124:Q124" si="165">IF(F124="","", LOOKUP(F124, $G$157:$G$220, H$157:H$220))</f>
        <v/>
      </c>
      <c r="N124" s="14" t="str">
        <f t="shared" si="165"/>
        <v/>
      </c>
      <c r="O124" s="14" t="str">
        <f t="shared" si="165"/>
        <v/>
      </c>
      <c r="P124" s="14" t="str">
        <f t="shared" si="165"/>
        <v/>
      </c>
      <c r="Q124" s="14" t="str">
        <f t="shared" si="165"/>
        <v/>
      </c>
      <c r="R124" s="14" t="str">
        <f t="shared" si="15"/>
        <v/>
      </c>
      <c r="S124" s="14" t="str">
        <f t="shared" si="16"/>
        <v/>
      </c>
      <c r="T124" s="14"/>
      <c r="U124" s="57" t="str">
        <f t="shared" si="166"/>
        <v/>
      </c>
      <c r="V124" s="14"/>
      <c r="W124" s="14"/>
      <c r="X124" s="47"/>
      <c r="Y124" s="14"/>
      <c r="Z124" s="47"/>
      <c r="AA124" s="47">
        <v>1.76</v>
      </c>
      <c r="AB124" s="47">
        <v>1.0</v>
      </c>
      <c r="AC124" s="14">
        <f t="shared" si="163"/>
        <v>0.76</v>
      </c>
      <c r="AD124" s="14"/>
      <c r="AE124" s="14"/>
      <c r="AF124" s="14"/>
      <c r="AG124" s="14"/>
    </row>
    <row r="125" ht="12.75" customHeight="1">
      <c r="A125" s="47"/>
      <c r="B125" s="47"/>
      <c r="C125" s="47"/>
      <c r="D125" s="47" t="s">
        <v>35</v>
      </c>
      <c r="E125" s="55"/>
      <c r="F125" s="58"/>
      <c r="G125" s="58"/>
      <c r="H125" s="58"/>
      <c r="I125" s="58"/>
      <c r="J125" s="58"/>
      <c r="K125" s="55"/>
      <c r="L125" s="58"/>
      <c r="M125" s="14" t="str">
        <f t="shared" ref="M125:Q125" si="167">IF(F125="","", LOOKUP(F125, $G$157:$G$220, H$157:H$220))</f>
        <v/>
      </c>
      <c r="N125" s="14" t="str">
        <f t="shared" si="167"/>
        <v/>
      </c>
      <c r="O125" s="14" t="str">
        <f t="shared" si="167"/>
        <v/>
      </c>
      <c r="P125" s="14" t="str">
        <f t="shared" si="167"/>
        <v/>
      </c>
      <c r="Q125" s="14" t="str">
        <f t="shared" si="167"/>
        <v/>
      </c>
      <c r="R125" s="14" t="str">
        <f t="shared" si="15"/>
        <v/>
      </c>
      <c r="S125" s="14" t="str">
        <f t="shared" si="16"/>
        <v/>
      </c>
      <c r="T125" s="14"/>
      <c r="U125" s="58" t="str">
        <f t="shared" si="166"/>
        <v/>
      </c>
      <c r="V125" s="14"/>
      <c r="W125" s="14"/>
      <c r="X125" s="14"/>
      <c r="Y125" s="14"/>
      <c r="Z125" s="47"/>
      <c r="AA125" s="47">
        <v>2.14</v>
      </c>
      <c r="AB125" s="47">
        <v>2.0</v>
      </c>
      <c r="AC125" s="14">
        <f t="shared" si="163"/>
        <v>0.14</v>
      </c>
      <c r="AD125" s="14"/>
      <c r="AE125" s="14"/>
      <c r="AF125" s="14"/>
      <c r="AG125" s="14"/>
    </row>
    <row r="126" ht="12.75" customHeight="1">
      <c r="A126" s="47"/>
      <c r="B126" s="47"/>
      <c r="C126" s="47"/>
      <c r="D126" s="47" t="s">
        <v>22</v>
      </c>
      <c r="E126" s="59"/>
      <c r="F126" s="59"/>
      <c r="G126" s="59"/>
      <c r="H126" s="59"/>
      <c r="I126" s="59"/>
      <c r="J126" s="59"/>
      <c r="K126" s="56"/>
      <c r="L126" s="59"/>
      <c r="M126" s="14" t="str">
        <f t="shared" ref="M126:Q126" si="168">IF(F126="","", LOOKUP(F126, $G$157:$G$220, H$157:H$220))</f>
        <v/>
      </c>
      <c r="N126" s="14" t="str">
        <f t="shared" si="168"/>
        <v/>
      </c>
      <c r="O126" s="14" t="str">
        <f t="shared" si="168"/>
        <v/>
      </c>
      <c r="P126" s="14" t="str">
        <f t="shared" si="168"/>
        <v/>
      </c>
      <c r="Q126" s="14" t="str">
        <f t="shared" si="168"/>
        <v/>
      </c>
      <c r="R126" s="14" t="str">
        <f t="shared" si="15"/>
        <v/>
      </c>
      <c r="S126" s="14" t="str">
        <f t="shared" si="16"/>
        <v/>
      </c>
      <c r="T126" s="14"/>
      <c r="U126" s="59" t="str">
        <f t="shared" ref="U126:U128" si="170">IF(S126="", "", S126-L126-1-S127)</f>
        <v/>
      </c>
      <c r="V126" s="14"/>
      <c r="W126" s="14"/>
      <c r="X126" s="14"/>
      <c r="Y126" s="14"/>
      <c r="Z126" s="14"/>
      <c r="AA126" s="47"/>
      <c r="AB126" s="47"/>
      <c r="AC126" s="14"/>
      <c r="AD126" s="14"/>
      <c r="AE126" s="14"/>
      <c r="AF126" s="14"/>
      <c r="AG126" s="14"/>
    </row>
    <row r="127" ht="12.75" customHeight="1">
      <c r="A127" s="14"/>
      <c r="B127" s="14"/>
      <c r="C127" s="14"/>
      <c r="D127" s="14"/>
      <c r="E127" s="59"/>
      <c r="F127" s="59"/>
      <c r="G127" s="59"/>
      <c r="H127" s="59"/>
      <c r="I127" s="59"/>
      <c r="J127" s="59"/>
      <c r="K127" s="56"/>
      <c r="L127" s="60"/>
      <c r="M127" s="14" t="str">
        <f t="shared" ref="M127:Q127" si="169">IF(F127="","", LOOKUP(F127, $G$157:$G$220, H$157:H$220))</f>
        <v/>
      </c>
      <c r="N127" s="14" t="str">
        <f t="shared" si="169"/>
        <v/>
      </c>
      <c r="O127" s="14" t="str">
        <f t="shared" si="169"/>
        <v/>
      </c>
      <c r="P127" s="14" t="str">
        <f t="shared" si="169"/>
        <v/>
      </c>
      <c r="Q127" s="14" t="str">
        <f t="shared" si="169"/>
        <v/>
      </c>
      <c r="R127" s="14" t="str">
        <f t="shared" si="15"/>
        <v/>
      </c>
      <c r="S127" s="14" t="str">
        <f t="shared" si="16"/>
        <v/>
      </c>
      <c r="T127" s="14"/>
      <c r="U127" s="59" t="str">
        <f t="shared" si="170"/>
        <v/>
      </c>
      <c r="V127" s="14"/>
      <c r="W127" s="14"/>
      <c r="X127" s="14"/>
      <c r="Y127" s="14"/>
      <c r="Z127" s="14"/>
      <c r="AA127" s="47"/>
      <c r="AB127" s="47"/>
      <c r="AC127" s="14"/>
      <c r="AD127" s="14"/>
      <c r="AE127" s="14"/>
      <c r="AF127" s="14"/>
      <c r="AG127" s="14"/>
    </row>
    <row r="128" ht="12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 t="str">
        <f t="shared" ref="M128:Q128" si="171">IF(F128="","", LOOKUP(F128, $G$157:$G$220, H$157:H$220))</f>
        <v/>
      </c>
      <c r="N128" s="14" t="str">
        <f t="shared" si="171"/>
        <v/>
      </c>
      <c r="O128" s="14" t="str">
        <f t="shared" si="171"/>
        <v/>
      </c>
      <c r="P128" s="14" t="str">
        <f t="shared" si="171"/>
        <v/>
      </c>
      <c r="Q128" s="14" t="str">
        <f t="shared" si="171"/>
        <v/>
      </c>
      <c r="R128" s="14" t="str">
        <f t="shared" si="15"/>
        <v/>
      </c>
      <c r="S128" s="14" t="str">
        <f t="shared" si="16"/>
        <v/>
      </c>
      <c r="T128" s="14"/>
      <c r="U128" s="14" t="str">
        <f t="shared" si="170"/>
        <v/>
      </c>
      <c r="V128" s="14"/>
      <c r="W128" s="14"/>
      <c r="X128" s="14"/>
      <c r="Y128" s="14"/>
      <c r="Z128" s="14"/>
      <c r="AA128" s="47">
        <v>1.8</v>
      </c>
      <c r="AB128" s="47">
        <v>2.0</v>
      </c>
      <c r="AC128" s="14">
        <f>AA128-AB128</f>
        <v>-0.2</v>
      </c>
      <c r="AD128" s="14"/>
      <c r="AE128" s="14"/>
      <c r="AF128" s="14"/>
      <c r="AG128" s="14"/>
    </row>
    <row r="129" ht="12.75" customHeight="1">
      <c r="A129" s="47"/>
      <c r="B129" s="47"/>
      <c r="C129" s="47"/>
      <c r="D129" s="47" t="s">
        <v>19</v>
      </c>
      <c r="E129" s="49">
        <v>18.0</v>
      </c>
      <c r="F129" s="49"/>
      <c r="G129" s="53"/>
      <c r="H129" s="53"/>
      <c r="I129" s="53"/>
      <c r="J129" s="53"/>
      <c r="K129" s="53"/>
      <c r="L129" s="49"/>
      <c r="M129" s="14" t="str">
        <f t="shared" ref="M129:Q129" si="172">IF(F129="","", LOOKUP(F129, $G$157:$G$220, H$157:H$220))</f>
        <v/>
      </c>
      <c r="N129" s="14" t="str">
        <f t="shared" si="172"/>
        <v/>
      </c>
      <c r="O129" s="14" t="str">
        <f t="shared" si="172"/>
        <v/>
      </c>
      <c r="P129" s="14" t="str">
        <f t="shared" si="172"/>
        <v/>
      </c>
      <c r="Q129" s="14" t="str">
        <f t="shared" si="172"/>
        <v/>
      </c>
      <c r="R129" s="14" t="str">
        <f t="shared" si="15"/>
        <v/>
      </c>
      <c r="S129" s="14" t="str">
        <f t="shared" si="16"/>
        <v/>
      </c>
      <c r="T129" s="14"/>
      <c r="U129" s="53" t="str">
        <f>IF(S129="", "", IF(S130="", IF(S131="",S129-L129-1-S132, S129-L129-1-S131), S129-L129-1-S130))</f>
        <v/>
      </c>
      <c r="V129" s="14"/>
      <c r="W129" s="14"/>
      <c r="X129" s="47"/>
      <c r="Y129" s="14"/>
      <c r="Z129" s="14"/>
      <c r="AA129" s="14"/>
      <c r="AB129" s="14"/>
      <c r="AC129" s="14">
        <f>SUM(AC102:AC128)</f>
        <v>-4.49</v>
      </c>
      <c r="AD129" s="14"/>
      <c r="AE129" s="14"/>
      <c r="AF129" s="14"/>
      <c r="AG129" s="14"/>
    </row>
    <row r="130" ht="12.75" customHeight="1">
      <c r="A130" s="47"/>
      <c r="B130" s="47"/>
      <c r="C130" s="47"/>
      <c r="D130" s="47" t="s">
        <v>33</v>
      </c>
      <c r="E130" s="54"/>
      <c r="F130" s="54"/>
      <c r="G130" s="54"/>
      <c r="H130" s="57"/>
      <c r="I130" s="57"/>
      <c r="J130" s="57"/>
      <c r="K130" s="57"/>
      <c r="L130" s="57"/>
      <c r="M130" s="14" t="str">
        <f t="shared" ref="M130:Q130" si="173">IF(F130="","", LOOKUP(F130, $G$157:$G$220, H$157:H$220))</f>
        <v/>
      </c>
      <c r="N130" s="14" t="str">
        <f t="shared" si="173"/>
        <v/>
      </c>
      <c r="O130" s="14" t="str">
        <f t="shared" si="173"/>
        <v/>
      </c>
      <c r="P130" s="14" t="str">
        <f t="shared" si="173"/>
        <v/>
      </c>
      <c r="Q130" s="14" t="str">
        <f t="shared" si="173"/>
        <v/>
      </c>
      <c r="R130" s="14" t="str">
        <f t="shared" si="15"/>
        <v/>
      </c>
      <c r="S130" s="14" t="str">
        <f t="shared" si="16"/>
        <v/>
      </c>
      <c r="T130" s="14"/>
      <c r="U130" s="57" t="str">
        <f t="shared" ref="U130:U132" si="175">IF(S130="", "", IF(S131="", S130-L130-1-S132, S130-L130-1-S131))</f>
        <v/>
      </c>
      <c r="V130" s="14"/>
      <c r="W130" s="47"/>
      <c r="X130" s="47"/>
      <c r="Y130" s="47"/>
      <c r="Z130" s="47"/>
      <c r="AA130" s="14"/>
      <c r="AB130" s="14"/>
      <c r="AC130" s="47">
        <v>0.94</v>
      </c>
      <c r="AD130" s="14"/>
      <c r="AE130" s="14"/>
      <c r="AF130" s="14"/>
      <c r="AG130" s="14"/>
    </row>
    <row r="131" ht="12.75" customHeight="1">
      <c r="A131" s="47"/>
      <c r="B131" s="47"/>
      <c r="C131" s="47"/>
      <c r="E131" s="54"/>
      <c r="F131" s="57"/>
      <c r="G131" s="54"/>
      <c r="H131" s="57"/>
      <c r="I131" s="57"/>
      <c r="J131" s="57"/>
      <c r="K131" s="54"/>
      <c r="L131" s="57"/>
      <c r="M131" s="14" t="str">
        <f t="shared" ref="M131:Q131" si="174">IF(F131="","", LOOKUP(F131, $G$157:$G$220, H$157:H$220))</f>
        <v/>
      </c>
      <c r="N131" s="14" t="str">
        <f t="shared" si="174"/>
        <v/>
      </c>
      <c r="O131" s="14" t="str">
        <f t="shared" si="174"/>
        <v/>
      </c>
      <c r="P131" s="14" t="str">
        <f t="shared" si="174"/>
        <v/>
      </c>
      <c r="Q131" s="14" t="str">
        <f t="shared" si="174"/>
        <v/>
      </c>
      <c r="R131" s="14" t="str">
        <f t="shared" si="15"/>
        <v/>
      </c>
      <c r="S131" s="14" t="str">
        <f t="shared" si="16"/>
        <v/>
      </c>
      <c r="T131" s="14"/>
      <c r="U131" s="57" t="str">
        <f t="shared" si="175"/>
        <v/>
      </c>
      <c r="V131" s="14"/>
      <c r="W131" s="14"/>
      <c r="X131" s="47"/>
      <c r="Y131" s="14"/>
      <c r="Z131" s="14"/>
      <c r="AA131" s="14"/>
      <c r="AB131" s="14"/>
      <c r="AC131" s="14">
        <f>AC129+AC130</f>
        <v>-3.55</v>
      </c>
      <c r="AD131" s="14"/>
      <c r="AE131" s="14"/>
      <c r="AF131" s="14"/>
      <c r="AG131" s="14"/>
    </row>
    <row r="132" ht="12.75" customHeight="1">
      <c r="A132" s="47"/>
      <c r="B132" s="47"/>
      <c r="C132" s="47"/>
      <c r="D132" s="47" t="s">
        <v>35</v>
      </c>
      <c r="E132" s="55"/>
      <c r="F132" s="58"/>
      <c r="G132" s="58"/>
      <c r="H132" s="58"/>
      <c r="I132" s="58"/>
      <c r="J132" s="58"/>
      <c r="K132" s="55"/>
      <c r="L132" s="58"/>
      <c r="M132" s="14" t="str">
        <f t="shared" ref="M132:Q132" si="176">IF(F132="","", LOOKUP(F132, $G$157:$G$220, H$157:H$220))</f>
        <v/>
      </c>
      <c r="N132" s="14" t="str">
        <f t="shared" si="176"/>
        <v/>
      </c>
      <c r="O132" s="14" t="str">
        <f t="shared" si="176"/>
        <v/>
      </c>
      <c r="P132" s="14" t="str">
        <f t="shared" si="176"/>
        <v/>
      </c>
      <c r="Q132" s="14" t="str">
        <f t="shared" si="176"/>
        <v/>
      </c>
      <c r="R132" s="14" t="str">
        <f t="shared" si="15"/>
        <v/>
      </c>
      <c r="S132" s="14" t="str">
        <f t="shared" si="16"/>
        <v/>
      </c>
      <c r="T132" s="14"/>
      <c r="U132" s="58" t="str">
        <f t="shared" si="175"/>
        <v/>
      </c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</row>
    <row r="133" ht="12.75" customHeight="1">
      <c r="A133" s="47"/>
      <c r="B133" s="47"/>
      <c r="C133" s="47"/>
      <c r="D133" s="47" t="s">
        <v>22</v>
      </c>
      <c r="E133" s="59"/>
      <c r="F133" s="59"/>
      <c r="G133" s="59"/>
      <c r="H133" s="59"/>
      <c r="I133" s="59"/>
      <c r="J133" s="59"/>
      <c r="K133" s="56"/>
      <c r="L133" s="59"/>
      <c r="M133" s="14" t="str">
        <f t="shared" ref="M133:Q133" si="177">IF(F133="","", LOOKUP(F133, $G$157:$G$220, H$157:H$220))</f>
        <v/>
      </c>
      <c r="N133" s="14" t="str">
        <f t="shared" si="177"/>
        <v/>
      </c>
      <c r="O133" s="14" t="str">
        <f t="shared" si="177"/>
        <v/>
      </c>
      <c r="P133" s="14" t="str">
        <f t="shared" si="177"/>
        <v/>
      </c>
      <c r="Q133" s="14" t="str">
        <f t="shared" si="177"/>
        <v/>
      </c>
      <c r="R133" s="14" t="str">
        <f t="shared" si="15"/>
        <v/>
      </c>
      <c r="S133" s="14" t="str">
        <f t="shared" si="16"/>
        <v/>
      </c>
      <c r="T133" s="14"/>
      <c r="U133" s="59" t="str">
        <f t="shared" ref="U133:U134" si="179">IF(S133="", "", S133-L133-1-S134)</f>
        <v/>
      </c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</row>
    <row r="134" ht="12.75" customHeight="1">
      <c r="A134" s="14"/>
      <c r="B134" s="14"/>
      <c r="C134" s="14"/>
      <c r="D134" s="14"/>
      <c r="E134" s="59"/>
      <c r="F134" s="59"/>
      <c r="G134" s="59"/>
      <c r="H134" s="59"/>
      <c r="I134" s="59"/>
      <c r="J134" s="59"/>
      <c r="K134" s="56"/>
      <c r="L134" s="60"/>
      <c r="M134" s="14" t="str">
        <f t="shared" ref="M134:Q134" si="178">IF(F134="","", LOOKUP(F134, $G$157:$G$220, H$157:H$220))</f>
        <v/>
      </c>
      <c r="N134" s="14" t="str">
        <f t="shared" si="178"/>
        <v/>
      </c>
      <c r="O134" s="14" t="str">
        <f t="shared" si="178"/>
        <v/>
      </c>
      <c r="P134" s="14" t="str">
        <f t="shared" si="178"/>
        <v/>
      </c>
      <c r="Q134" s="14" t="str">
        <f t="shared" si="178"/>
        <v/>
      </c>
      <c r="R134" s="14" t="str">
        <f t="shared" si="15"/>
        <v/>
      </c>
      <c r="S134" s="14" t="str">
        <f t="shared" si="16"/>
        <v/>
      </c>
      <c r="T134" s="14"/>
      <c r="U134" s="59" t="str">
        <f t="shared" si="179"/>
        <v/>
      </c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</row>
    <row r="135" ht="12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</row>
    <row r="136" ht="12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</row>
    <row r="137" ht="12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</row>
    <row r="138" ht="12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</row>
    <row r="139" ht="12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</row>
    <row r="140" ht="12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</row>
    <row r="141" ht="12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</row>
    <row r="142" ht="12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</row>
    <row r="143" ht="12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</row>
    <row r="144" ht="12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</row>
    <row r="145" ht="12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</row>
    <row r="146" ht="12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</row>
    <row r="147" ht="12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</row>
    <row r="148" ht="12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</row>
    <row r="149" ht="12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</row>
    <row r="150" ht="12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</row>
    <row r="151" ht="12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</row>
    <row r="152" ht="12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</row>
    <row r="153" ht="12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</row>
    <row r="154" ht="12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</row>
    <row r="155" ht="12.75" customHeight="1">
      <c r="A155" s="14"/>
      <c r="B155" s="14"/>
      <c r="C155" s="14"/>
      <c r="D155" s="14"/>
      <c r="E155" s="14"/>
      <c r="F155" s="14"/>
      <c r="G155" s="14" t="s">
        <v>23</v>
      </c>
      <c r="H155" s="62" t="s">
        <v>12</v>
      </c>
      <c r="I155" s="62" t="s">
        <v>13</v>
      </c>
      <c r="J155" s="62" t="s">
        <v>14</v>
      </c>
      <c r="K155" s="62" t="s">
        <v>15</v>
      </c>
      <c r="L155" s="62" t="s">
        <v>16</v>
      </c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</row>
    <row r="156" ht="12.75" customHeight="1">
      <c r="A156" s="14"/>
      <c r="B156" s="14"/>
      <c r="C156" s="14"/>
      <c r="D156" s="14"/>
      <c r="E156" s="14"/>
      <c r="F156" s="14"/>
      <c r="G156" s="63"/>
      <c r="H156" s="63"/>
      <c r="I156" s="64"/>
      <c r="J156" s="63"/>
      <c r="K156" s="63"/>
      <c r="L156" s="63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</row>
    <row r="157" ht="12.75" customHeight="1">
      <c r="A157" s="14"/>
      <c r="B157" s="14"/>
      <c r="C157" s="14"/>
      <c r="D157" s="14"/>
      <c r="E157" s="14"/>
      <c r="F157" s="14"/>
      <c r="G157" s="65">
        <v>10.0</v>
      </c>
      <c r="H157" s="63"/>
      <c r="I157" s="66">
        <v>2.2</v>
      </c>
      <c r="J157" s="65">
        <v>2.49</v>
      </c>
      <c r="K157" s="65">
        <v>2.41</v>
      </c>
      <c r="L157" s="63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</row>
    <row r="158" ht="12.75" customHeight="1">
      <c r="A158" s="14"/>
      <c r="B158" s="14"/>
      <c r="C158" s="14"/>
      <c r="D158" s="14"/>
      <c r="E158" s="14"/>
      <c r="F158" s="14"/>
      <c r="G158" s="65">
        <v>15.0</v>
      </c>
      <c r="H158" s="63"/>
      <c r="I158" s="66">
        <v>2.3</v>
      </c>
      <c r="J158" s="65">
        <v>2.54</v>
      </c>
      <c r="K158" s="65">
        <v>2.47</v>
      </c>
      <c r="L158" s="63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</row>
    <row r="159" ht="12.75" customHeight="1">
      <c r="A159" s="14"/>
      <c r="B159" s="14"/>
      <c r="C159" s="14"/>
      <c r="D159" s="14"/>
      <c r="E159" s="14"/>
      <c r="F159" s="14"/>
      <c r="G159" s="63">
        <v>20.0</v>
      </c>
      <c r="H159" s="63"/>
      <c r="I159" s="64">
        <v>2.4</v>
      </c>
      <c r="J159" s="63">
        <v>2.59</v>
      </c>
      <c r="K159" s="63">
        <v>2.53</v>
      </c>
      <c r="L159" s="63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</row>
    <row r="160" ht="12.75" customHeight="1">
      <c r="A160" s="14"/>
      <c r="B160" s="14"/>
      <c r="C160" s="14"/>
      <c r="D160" s="14"/>
      <c r="E160" s="14"/>
      <c r="F160" s="14"/>
      <c r="G160" s="47">
        <v>25.0</v>
      </c>
      <c r="H160" s="14"/>
      <c r="I160" s="66">
        <v>2.45</v>
      </c>
      <c r="J160" s="47">
        <v>2.64</v>
      </c>
      <c r="K160" s="47">
        <v>2.59</v>
      </c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</row>
    <row r="161" ht="12.75" customHeight="1">
      <c r="A161" s="14"/>
      <c r="B161" s="14"/>
      <c r="C161" s="14"/>
      <c r="D161" s="14"/>
      <c r="E161" s="14"/>
      <c r="F161" s="14"/>
      <c r="G161" s="47">
        <v>30.0</v>
      </c>
      <c r="H161" s="14"/>
      <c r="I161" s="66">
        <v>2.5</v>
      </c>
      <c r="J161" s="47">
        <v>2.69</v>
      </c>
      <c r="K161" s="47">
        <v>2.67</v>
      </c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</row>
    <row r="162" ht="12.75" customHeight="1">
      <c r="A162" s="14"/>
      <c r="B162" s="14"/>
      <c r="C162" s="14"/>
      <c r="D162" s="14"/>
      <c r="E162" s="14"/>
      <c r="F162" s="14"/>
      <c r="G162" s="47">
        <v>35.0</v>
      </c>
      <c r="H162" s="14"/>
      <c r="I162" s="66">
        <v>2.55</v>
      </c>
      <c r="J162" s="47">
        <v>2.74</v>
      </c>
      <c r="K162" s="47">
        <v>2.76</v>
      </c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</row>
    <row r="163" ht="12.75" customHeight="1">
      <c r="A163" s="14"/>
      <c r="B163" s="14"/>
      <c r="C163" s="14"/>
      <c r="D163" s="14"/>
      <c r="E163" s="14"/>
      <c r="F163" s="14"/>
      <c r="G163" s="14">
        <v>40.0</v>
      </c>
      <c r="H163" s="14"/>
      <c r="I163" s="67">
        <v>2.6</v>
      </c>
      <c r="J163" s="14">
        <v>2.78</v>
      </c>
      <c r="K163" s="14">
        <v>2.82</v>
      </c>
      <c r="L163" s="14"/>
      <c r="M163" s="14"/>
      <c r="N163" s="62"/>
      <c r="O163" s="62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</row>
    <row r="164" ht="12.75" customHeight="1">
      <c r="A164" s="14"/>
      <c r="B164" s="14"/>
      <c r="C164" s="14"/>
      <c r="D164" s="14"/>
      <c r="E164" s="14"/>
      <c r="F164" s="14"/>
      <c r="G164" s="65">
        <v>45.0</v>
      </c>
      <c r="H164" s="63"/>
      <c r="I164" s="66">
        <v>2.62</v>
      </c>
      <c r="J164" s="65">
        <v>2.82</v>
      </c>
      <c r="K164" s="65">
        <v>2.9</v>
      </c>
      <c r="L164" s="63"/>
      <c r="M164" s="14"/>
      <c r="N164" s="62"/>
      <c r="O164" s="62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</row>
    <row r="165" ht="12.75" customHeight="1">
      <c r="A165" s="14"/>
      <c r="B165" s="14"/>
      <c r="C165" s="14"/>
      <c r="D165" s="14"/>
      <c r="E165" s="14"/>
      <c r="F165" s="14"/>
      <c r="G165" s="65">
        <v>50.0</v>
      </c>
      <c r="H165" s="63"/>
      <c r="I165" s="66">
        <v>2.65</v>
      </c>
      <c r="J165" s="65">
        <v>2.85</v>
      </c>
      <c r="K165" s="65">
        <v>2.98</v>
      </c>
      <c r="L165" s="63"/>
      <c r="M165" s="14"/>
      <c r="N165" s="62"/>
      <c r="O165" s="62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</row>
    <row r="166" ht="12.75" customHeight="1">
      <c r="A166" s="14"/>
      <c r="B166" s="14"/>
      <c r="C166" s="14"/>
      <c r="D166" s="14"/>
      <c r="E166" s="14"/>
      <c r="F166" s="14"/>
      <c r="G166" s="65">
        <v>55.0</v>
      </c>
      <c r="H166" s="63"/>
      <c r="I166" s="66">
        <v>2.67</v>
      </c>
      <c r="J166" s="65">
        <v>2.88</v>
      </c>
      <c r="K166" s="65">
        <v>3.07</v>
      </c>
      <c r="L166" s="63"/>
      <c r="M166" s="14"/>
      <c r="N166" s="62"/>
      <c r="O166" s="62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</row>
    <row r="167" ht="12.75" customHeight="1">
      <c r="A167" s="14"/>
      <c r="B167" s="14"/>
      <c r="C167" s="14"/>
      <c r="D167" s="14"/>
      <c r="E167" s="14"/>
      <c r="F167" s="14"/>
      <c r="G167" s="63">
        <v>60.0</v>
      </c>
      <c r="H167" s="63"/>
      <c r="I167" s="64">
        <v>2.7</v>
      </c>
      <c r="J167" s="63">
        <v>2.91</v>
      </c>
      <c r="K167" s="63">
        <v>3.15</v>
      </c>
      <c r="L167" s="63"/>
      <c r="M167" s="14"/>
      <c r="N167" s="62" t="s">
        <v>23</v>
      </c>
      <c r="O167" s="62" t="s">
        <v>24</v>
      </c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</row>
    <row r="168" ht="12.75" customHeight="1">
      <c r="A168" s="14"/>
      <c r="B168" s="14"/>
      <c r="C168" s="14"/>
      <c r="D168" s="14"/>
      <c r="E168" s="14"/>
      <c r="F168" s="14"/>
      <c r="G168" s="47">
        <v>65.0</v>
      </c>
      <c r="H168" s="14"/>
      <c r="I168" s="47">
        <v>2.72</v>
      </c>
      <c r="J168" s="47">
        <v>2.92</v>
      </c>
      <c r="K168" s="47">
        <v>3.17</v>
      </c>
      <c r="L168" s="14"/>
      <c r="M168" s="14"/>
      <c r="N168" s="68"/>
      <c r="O168" s="68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</row>
    <row r="169" ht="12.75" customHeight="1">
      <c r="A169" s="14"/>
      <c r="B169" s="14"/>
      <c r="C169" s="14"/>
      <c r="D169" s="14"/>
      <c r="E169" s="14"/>
      <c r="F169" s="14"/>
      <c r="G169" s="47">
        <v>70.0</v>
      </c>
      <c r="H169" s="14"/>
      <c r="I169" s="47">
        <v>2.73</v>
      </c>
      <c r="J169" s="47">
        <v>2.93</v>
      </c>
      <c r="K169" s="47">
        <v>3.19</v>
      </c>
      <c r="L169" s="14"/>
      <c r="M169" s="14"/>
      <c r="N169" s="68"/>
      <c r="O169" s="68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</row>
    <row r="170" ht="12.75" customHeight="1">
      <c r="A170" s="14"/>
      <c r="B170" s="14"/>
      <c r="C170" s="14"/>
      <c r="D170" s="14"/>
      <c r="E170" s="14"/>
      <c r="F170" s="14"/>
      <c r="G170" s="47">
        <v>75.0</v>
      </c>
      <c r="H170" s="14"/>
      <c r="I170" s="47">
        <v>2.74</v>
      </c>
      <c r="J170" s="47">
        <v>2.95</v>
      </c>
      <c r="K170" s="47">
        <v>3.22</v>
      </c>
      <c r="L170" s="14"/>
      <c r="M170" s="14"/>
      <c r="N170" s="68"/>
      <c r="O170" s="68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</row>
    <row r="171" ht="12.75" customHeight="1">
      <c r="A171" s="14"/>
      <c r="B171" s="14"/>
      <c r="C171" s="14"/>
      <c r="D171" s="14"/>
      <c r="E171" s="14"/>
      <c r="F171" s="14"/>
      <c r="G171" s="14">
        <v>80.0</v>
      </c>
      <c r="H171" s="14"/>
      <c r="I171" s="14">
        <v>2.75</v>
      </c>
      <c r="J171" s="14">
        <v>2.96</v>
      </c>
      <c r="K171" s="14">
        <v>3.24</v>
      </c>
      <c r="L171" s="14"/>
      <c r="M171" s="62"/>
      <c r="N171" s="68">
        <v>1.0</v>
      </c>
      <c r="O171" s="68">
        <v>1.0</v>
      </c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</row>
    <row r="172" ht="12.75" customHeight="1">
      <c r="A172" s="14"/>
      <c r="B172" s="14"/>
      <c r="C172" s="14"/>
      <c r="D172" s="14"/>
      <c r="E172" s="14"/>
      <c r="F172" s="14"/>
      <c r="G172" s="65">
        <v>85.0</v>
      </c>
      <c r="H172" s="63"/>
      <c r="I172" s="66">
        <v>2.77</v>
      </c>
      <c r="J172" s="65">
        <v>2.97</v>
      </c>
      <c r="K172" s="65">
        <v>3.24</v>
      </c>
      <c r="L172" s="64"/>
      <c r="M172" s="14"/>
      <c r="N172" s="63"/>
      <c r="O172" s="63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</row>
    <row r="173" ht="12.75" customHeight="1">
      <c r="A173" s="14"/>
      <c r="B173" s="14"/>
      <c r="C173" s="14"/>
      <c r="D173" s="14"/>
      <c r="E173" s="14"/>
      <c r="F173" s="14"/>
      <c r="G173" s="65">
        <v>90.0</v>
      </c>
      <c r="H173" s="63"/>
      <c r="I173" s="66">
        <v>2.78</v>
      </c>
      <c r="J173" s="65">
        <v>2.99</v>
      </c>
      <c r="K173" s="65">
        <v>3.23</v>
      </c>
      <c r="L173" s="64"/>
      <c r="M173" s="14"/>
      <c r="N173" s="63"/>
      <c r="O173" s="63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</row>
    <row r="174" ht="12.75" customHeight="1">
      <c r="A174" s="14"/>
      <c r="B174" s="14"/>
      <c r="C174" s="14"/>
      <c r="D174" s="14"/>
      <c r="E174" s="14"/>
      <c r="F174" s="14"/>
      <c r="G174" s="65">
        <v>95.0</v>
      </c>
      <c r="H174" s="63"/>
      <c r="I174" s="66">
        <v>2.79</v>
      </c>
      <c r="J174" s="65">
        <v>3.01</v>
      </c>
      <c r="K174" s="65">
        <v>3.23</v>
      </c>
      <c r="L174" s="64"/>
      <c r="M174" s="14"/>
      <c r="N174" s="63"/>
      <c r="O174" s="63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</row>
    <row r="175" ht="12.75" customHeight="1">
      <c r="A175" s="14"/>
      <c r="B175" s="14"/>
      <c r="C175" s="14"/>
      <c r="D175" s="14"/>
      <c r="E175" s="14"/>
      <c r="F175" s="14"/>
      <c r="G175" s="63">
        <v>100.0</v>
      </c>
      <c r="H175" s="63">
        <v>2.92</v>
      </c>
      <c r="I175" s="64">
        <v>2.8</v>
      </c>
      <c r="J175" s="63">
        <v>3.02</v>
      </c>
      <c r="K175" s="63">
        <v>3.23</v>
      </c>
      <c r="L175" s="64">
        <v>3.8</v>
      </c>
      <c r="M175" s="14"/>
      <c r="N175" s="63">
        <v>3.0</v>
      </c>
      <c r="O175" s="63">
        <v>1.04</v>
      </c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</row>
    <row r="176" ht="12.75" customHeight="1">
      <c r="A176" s="14"/>
      <c r="B176" s="14"/>
      <c r="C176" s="14"/>
      <c r="D176" s="14"/>
      <c r="E176" s="14"/>
      <c r="F176" s="14"/>
      <c r="G176" s="47">
        <v>105.0</v>
      </c>
      <c r="H176" s="47">
        <v>2.93</v>
      </c>
      <c r="I176" s="47">
        <v>2.81</v>
      </c>
      <c r="J176" s="47">
        <v>3.03</v>
      </c>
      <c r="K176" s="47">
        <v>3.23</v>
      </c>
      <c r="L176" s="64">
        <v>3.8</v>
      </c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</row>
    <row r="177" ht="12.75" customHeight="1">
      <c r="A177" s="14"/>
      <c r="B177" s="14"/>
      <c r="C177" s="14"/>
      <c r="D177" s="14"/>
      <c r="E177" s="14"/>
      <c r="F177" s="14"/>
      <c r="G177" s="47">
        <v>110.0</v>
      </c>
      <c r="H177" s="47">
        <v>2.95</v>
      </c>
      <c r="I177" s="47">
        <v>2.83</v>
      </c>
      <c r="J177" s="47">
        <v>3.04</v>
      </c>
      <c r="K177" s="47">
        <v>3.22</v>
      </c>
      <c r="L177" s="64">
        <v>3.8</v>
      </c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</row>
    <row r="178" ht="12.75" customHeight="1">
      <c r="A178" s="14"/>
      <c r="B178" s="14"/>
      <c r="C178" s="14"/>
      <c r="D178" s="14"/>
      <c r="E178" s="14"/>
      <c r="F178" s="14"/>
      <c r="G178" s="14">
        <v>115.0</v>
      </c>
      <c r="H178" s="47">
        <v>2.97</v>
      </c>
      <c r="I178" s="47">
        <v>2.84</v>
      </c>
      <c r="J178" s="47">
        <v>3.06</v>
      </c>
      <c r="K178" s="47">
        <v>3.21</v>
      </c>
      <c r="L178" s="64">
        <v>3.8</v>
      </c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</row>
    <row r="179" ht="12.75" customHeight="1">
      <c r="A179" s="14"/>
      <c r="B179" s="14"/>
      <c r="C179" s="14"/>
      <c r="D179" s="14"/>
      <c r="E179" s="14"/>
      <c r="F179" s="14"/>
      <c r="G179" s="47">
        <v>120.0</v>
      </c>
      <c r="H179" s="14">
        <v>2.99</v>
      </c>
      <c r="I179" s="14">
        <v>2.85</v>
      </c>
      <c r="J179" s="14">
        <v>3.08</v>
      </c>
      <c r="K179" s="14">
        <v>3.21</v>
      </c>
      <c r="L179" s="14">
        <v>3.78</v>
      </c>
      <c r="M179" s="14"/>
      <c r="N179" s="14">
        <v>4.0</v>
      </c>
      <c r="O179" s="14">
        <v>1.13</v>
      </c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</row>
    <row r="180" ht="12.75" customHeight="1">
      <c r="A180" s="14"/>
      <c r="B180" s="14"/>
      <c r="C180" s="14"/>
      <c r="D180" s="14"/>
      <c r="E180" s="14"/>
      <c r="F180" s="14"/>
      <c r="G180" s="14">
        <v>125.0</v>
      </c>
      <c r="H180" s="65">
        <v>2.99</v>
      </c>
      <c r="I180" s="65">
        <v>2.86</v>
      </c>
      <c r="J180" s="65">
        <v>3.09</v>
      </c>
      <c r="K180" s="65">
        <v>3.21</v>
      </c>
      <c r="L180" s="14">
        <v>3.78</v>
      </c>
      <c r="M180" s="14"/>
      <c r="N180" s="63"/>
      <c r="O180" s="63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</row>
    <row r="181" ht="12.75" customHeight="1">
      <c r="A181" s="14"/>
      <c r="B181" s="14"/>
      <c r="C181" s="14"/>
      <c r="D181" s="14"/>
      <c r="E181" s="14"/>
      <c r="F181" s="14"/>
      <c r="G181" s="65">
        <v>130.0</v>
      </c>
      <c r="H181" s="65">
        <v>2.97</v>
      </c>
      <c r="I181" s="65">
        <v>2.88</v>
      </c>
      <c r="J181" s="65">
        <v>3.11</v>
      </c>
      <c r="K181" s="65">
        <v>3.21</v>
      </c>
      <c r="L181" s="14">
        <v>3.78</v>
      </c>
      <c r="M181" s="14"/>
      <c r="N181" s="63"/>
      <c r="O181" s="63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</row>
    <row r="182" ht="12.75" customHeight="1">
      <c r="A182" s="14"/>
      <c r="B182" s="14"/>
      <c r="C182" s="14"/>
      <c r="D182" s="14"/>
      <c r="E182" s="14"/>
      <c r="F182" s="14"/>
      <c r="G182" s="65">
        <v>135.0</v>
      </c>
      <c r="H182" s="65">
        <v>2.97</v>
      </c>
      <c r="I182" s="65">
        <v>2.9</v>
      </c>
      <c r="J182" s="65">
        <v>3.13</v>
      </c>
      <c r="K182" s="65">
        <v>3.22</v>
      </c>
      <c r="L182" s="14">
        <v>3.78</v>
      </c>
      <c r="M182" s="14"/>
      <c r="N182" s="63"/>
      <c r="O182" s="63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</row>
    <row r="183" ht="12.75" customHeight="1">
      <c r="A183" s="14"/>
      <c r="B183" s="14"/>
      <c r="C183" s="14"/>
      <c r="D183" s="14"/>
      <c r="E183" s="14"/>
      <c r="F183" s="14"/>
      <c r="G183" s="65">
        <v>140.0</v>
      </c>
      <c r="H183" s="63">
        <v>2.97</v>
      </c>
      <c r="I183" s="63">
        <v>2.91</v>
      </c>
      <c r="J183" s="63">
        <v>3.15</v>
      </c>
      <c r="K183" s="63">
        <v>3.22</v>
      </c>
      <c r="L183" s="63">
        <v>3.8</v>
      </c>
      <c r="M183" s="14"/>
      <c r="N183" s="63">
        <v>5.0</v>
      </c>
      <c r="O183" s="63">
        <v>1.23</v>
      </c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</row>
    <row r="184" ht="12.75" customHeight="1">
      <c r="A184" s="14"/>
      <c r="B184" s="14"/>
      <c r="C184" s="14"/>
      <c r="D184" s="14"/>
      <c r="E184" s="14"/>
      <c r="F184" s="14"/>
      <c r="G184" s="63">
        <v>145.0</v>
      </c>
      <c r="H184" s="47">
        <v>2.97</v>
      </c>
      <c r="I184" s="47">
        <v>2.93</v>
      </c>
      <c r="J184" s="47">
        <v>3.17</v>
      </c>
      <c r="K184" s="47">
        <v>3.23</v>
      </c>
      <c r="L184" s="63">
        <v>3.8</v>
      </c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</row>
    <row r="185" ht="12.75" customHeight="1">
      <c r="A185" s="14"/>
      <c r="B185" s="14"/>
      <c r="C185" s="14"/>
      <c r="D185" s="14"/>
      <c r="E185" s="14"/>
      <c r="F185" s="14"/>
      <c r="G185" s="47">
        <v>150.0</v>
      </c>
      <c r="H185" s="47">
        <v>2.99</v>
      </c>
      <c r="I185" s="47">
        <v>2.95</v>
      </c>
      <c r="J185" s="47">
        <v>3.19</v>
      </c>
      <c r="K185" s="47">
        <v>3.25</v>
      </c>
      <c r="L185" s="63">
        <v>3.8</v>
      </c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</row>
    <row r="186" ht="12.75" customHeight="1">
      <c r="A186" s="14"/>
      <c r="B186" s="14"/>
      <c r="C186" s="14"/>
      <c r="D186" s="14"/>
      <c r="E186" s="14"/>
      <c r="F186" s="14"/>
      <c r="G186" s="47">
        <v>155.0</v>
      </c>
      <c r="H186" s="47">
        <v>2.99</v>
      </c>
      <c r="I186" s="47">
        <v>2.97</v>
      </c>
      <c r="J186" s="47">
        <v>3.21</v>
      </c>
      <c r="K186" s="47">
        <v>3.26</v>
      </c>
      <c r="L186" s="63">
        <v>3.8</v>
      </c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</row>
    <row r="187" ht="12.75" customHeight="1">
      <c r="A187" s="14"/>
      <c r="B187" s="14"/>
      <c r="C187" s="14"/>
      <c r="D187" s="14"/>
      <c r="E187" s="14"/>
      <c r="F187" s="14"/>
      <c r="G187" s="14">
        <v>160.0</v>
      </c>
      <c r="H187" s="14">
        <v>2.99</v>
      </c>
      <c r="I187" s="14">
        <v>2.98</v>
      </c>
      <c r="J187" s="14">
        <v>3.23</v>
      </c>
      <c r="K187" s="14">
        <v>3.28</v>
      </c>
      <c r="L187" s="14">
        <v>3.81</v>
      </c>
      <c r="M187" s="14"/>
      <c r="N187" s="14">
        <v>6.0</v>
      </c>
      <c r="O187" s="14">
        <v>1.34</v>
      </c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</row>
    <row r="188" ht="12.75" customHeight="1">
      <c r="A188" s="14"/>
      <c r="B188" s="14"/>
      <c r="C188" s="14"/>
      <c r="D188" s="14"/>
      <c r="E188" s="14"/>
      <c r="F188" s="14"/>
      <c r="G188" s="47">
        <v>165.0</v>
      </c>
      <c r="H188" s="65">
        <v>3.01</v>
      </c>
      <c r="I188" s="65">
        <v>3.0</v>
      </c>
      <c r="J188" s="65">
        <v>3.25</v>
      </c>
      <c r="K188" s="66">
        <v>3.3</v>
      </c>
      <c r="L188" s="14">
        <v>3.81</v>
      </c>
      <c r="M188" s="14"/>
      <c r="N188" s="63"/>
      <c r="O188" s="63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</row>
    <row r="189" ht="12.75" customHeight="1">
      <c r="A189" s="14"/>
      <c r="B189" s="14"/>
      <c r="C189" s="14"/>
      <c r="D189" s="14"/>
      <c r="E189" s="14"/>
      <c r="F189" s="14"/>
      <c r="G189" s="14">
        <v>170.0</v>
      </c>
      <c r="H189" s="65">
        <v>3.02</v>
      </c>
      <c r="I189" s="65">
        <v>3.03</v>
      </c>
      <c r="J189" s="65">
        <v>3.27</v>
      </c>
      <c r="K189" s="66">
        <v>3.33</v>
      </c>
      <c r="L189" s="14">
        <v>3.81</v>
      </c>
      <c r="M189" s="14"/>
      <c r="N189" s="63"/>
      <c r="O189" s="63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</row>
    <row r="190" ht="12.75" customHeight="1">
      <c r="A190" s="14"/>
      <c r="B190" s="14"/>
      <c r="C190" s="14"/>
      <c r="D190" s="14"/>
      <c r="E190" s="14"/>
      <c r="F190" s="14"/>
      <c r="G190" s="65">
        <v>175.0</v>
      </c>
      <c r="H190" s="65">
        <v>3.04</v>
      </c>
      <c r="I190" s="65">
        <v>3.06</v>
      </c>
      <c r="J190" s="65">
        <v>3.29</v>
      </c>
      <c r="K190" s="66">
        <v>3.36</v>
      </c>
      <c r="L190" s="65">
        <v>3.81</v>
      </c>
      <c r="M190" s="14"/>
      <c r="N190" s="63"/>
      <c r="O190" s="63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</row>
    <row r="191" ht="12.75" customHeight="1">
      <c r="A191" s="14"/>
      <c r="B191" s="14"/>
      <c r="C191" s="14"/>
      <c r="D191" s="14"/>
      <c r="E191" s="14"/>
      <c r="F191" s="14"/>
      <c r="G191" s="65">
        <v>180.0</v>
      </c>
      <c r="H191" s="63">
        <v>3.05</v>
      </c>
      <c r="I191" s="63">
        <v>3.08</v>
      </c>
      <c r="J191" s="63">
        <v>3.31</v>
      </c>
      <c r="K191" s="64">
        <v>3.4</v>
      </c>
      <c r="L191" s="63">
        <v>3.82</v>
      </c>
      <c r="M191" s="14"/>
      <c r="N191" s="63">
        <v>7.0</v>
      </c>
      <c r="O191" s="63">
        <v>1.42</v>
      </c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</row>
    <row r="192" ht="12.75" customHeight="1">
      <c r="A192" s="14"/>
      <c r="B192" s="14"/>
      <c r="C192" s="14"/>
      <c r="D192" s="14"/>
      <c r="E192" s="14"/>
      <c r="F192" s="14"/>
      <c r="G192" s="65">
        <v>185.0</v>
      </c>
      <c r="H192" s="47">
        <v>3.07</v>
      </c>
      <c r="I192" s="47">
        <v>3.11</v>
      </c>
      <c r="J192" s="47">
        <v>3.34</v>
      </c>
      <c r="K192" s="47">
        <v>3.43</v>
      </c>
      <c r="L192" s="47">
        <v>3.83</v>
      </c>
      <c r="M192" s="14"/>
      <c r="N192" s="14"/>
      <c r="O192" s="67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</row>
    <row r="193" ht="12.75" customHeight="1">
      <c r="A193" s="14"/>
      <c r="B193" s="14"/>
      <c r="C193" s="14"/>
      <c r="D193" s="14"/>
      <c r="E193" s="14"/>
      <c r="F193" s="14"/>
      <c r="G193" s="63">
        <v>190.0</v>
      </c>
      <c r="H193" s="47">
        <v>3.09</v>
      </c>
      <c r="I193" s="47">
        <v>3.13</v>
      </c>
      <c r="J193" s="47">
        <v>3.37</v>
      </c>
      <c r="K193" s="47">
        <v>3.47</v>
      </c>
      <c r="L193" s="47">
        <v>3.84</v>
      </c>
      <c r="M193" s="14"/>
      <c r="N193" s="14"/>
      <c r="O193" s="67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</row>
    <row r="194" ht="12.75" customHeight="1">
      <c r="A194" s="14"/>
      <c r="B194" s="14"/>
      <c r="C194" s="14"/>
      <c r="D194" s="14"/>
      <c r="E194" s="14"/>
      <c r="F194" s="14"/>
      <c r="G194" s="47">
        <v>195.0</v>
      </c>
      <c r="H194" s="47">
        <v>3.11</v>
      </c>
      <c r="I194" s="47">
        <v>3.16</v>
      </c>
      <c r="J194" s="47">
        <v>3.4</v>
      </c>
      <c r="K194" s="47">
        <v>3.51</v>
      </c>
      <c r="L194" s="47">
        <v>3.86</v>
      </c>
      <c r="M194" s="14"/>
      <c r="N194" s="14"/>
      <c r="O194" s="67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</row>
    <row r="195" ht="12.75" customHeight="1">
      <c r="A195" s="14"/>
      <c r="B195" s="14"/>
      <c r="C195" s="14"/>
      <c r="D195" s="14"/>
      <c r="E195" s="14"/>
      <c r="F195" s="14"/>
      <c r="G195" s="14">
        <v>200.0</v>
      </c>
      <c r="H195" s="14">
        <v>3.12</v>
      </c>
      <c r="I195" s="14">
        <v>3.19</v>
      </c>
      <c r="J195" s="14">
        <v>3.42</v>
      </c>
      <c r="K195" s="14">
        <v>3.55</v>
      </c>
      <c r="L195" s="14">
        <v>3.87</v>
      </c>
      <c r="M195" s="14"/>
      <c r="N195" s="14">
        <v>8.0</v>
      </c>
      <c r="O195" s="67">
        <v>1.5</v>
      </c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</row>
    <row r="196" ht="12.75" customHeight="1">
      <c r="A196" s="14"/>
      <c r="B196" s="14"/>
      <c r="C196" s="14"/>
      <c r="D196" s="14"/>
      <c r="E196" s="14"/>
      <c r="F196" s="14"/>
      <c r="G196" s="65">
        <v>210.0</v>
      </c>
      <c r="H196" s="65">
        <v>3.14</v>
      </c>
      <c r="I196" s="65">
        <v>3.26</v>
      </c>
      <c r="J196" s="65">
        <v>3.48</v>
      </c>
      <c r="K196" s="66">
        <v>3.62</v>
      </c>
      <c r="L196" s="65">
        <v>3.89</v>
      </c>
      <c r="M196" s="14"/>
      <c r="N196" s="63"/>
      <c r="O196" s="63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</row>
    <row r="197" ht="12.75" customHeight="1">
      <c r="A197" s="14"/>
      <c r="B197" s="14"/>
      <c r="C197" s="14"/>
      <c r="D197" s="14"/>
      <c r="E197" s="14"/>
      <c r="F197" s="14"/>
      <c r="G197" s="63">
        <v>220.0</v>
      </c>
      <c r="H197" s="63">
        <v>3.17</v>
      </c>
      <c r="I197" s="63">
        <v>3.32</v>
      </c>
      <c r="J197" s="63">
        <v>3.53</v>
      </c>
      <c r="K197" s="64">
        <v>3.7</v>
      </c>
      <c r="L197" s="63">
        <v>3.92</v>
      </c>
      <c r="M197" s="14"/>
      <c r="N197" s="63">
        <v>9.0</v>
      </c>
      <c r="O197" s="63">
        <v>1.56</v>
      </c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</row>
    <row r="198" ht="12.75" customHeight="1">
      <c r="A198" s="14"/>
      <c r="B198" s="14"/>
      <c r="C198" s="14"/>
      <c r="D198" s="14"/>
      <c r="E198" s="14"/>
      <c r="F198" s="14"/>
      <c r="G198" s="47">
        <v>230.0</v>
      </c>
      <c r="H198" s="47">
        <v>3.21</v>
      </c>
      <c r="I198" s="47">
        <v>3.39</v>
      </c>
      <c r="J198" s="47">
        <v>3.8</v>
      </c>
      <c r="K198" s="47">
        <v>3.77</v>
      </c>
      <c r="L198" s="47">
        <v>3.95</v>
      </c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</row>
    <row r="199" ht="12.75" customHeight="1">
      <c r="A199" s="14"/>
      <c r="B199" s="14"/>
      <c r="C199" s="14"/>
      <c r="D199" s="14"/>
      <c r="E199" s="14"/>
      <c r="F199" s="14"/>
      <c r="G199" s="14">
        <v>240.0</v>
      </c>
      <c r="H199" s="14">
        <v>3.25</v>
      </c>
      <c r="I199" s="14">
        <v>3.45</v>
      </c>
      <c r="J199" s="14">
        <v>3.64</v>
      </c>
      <c r="K199" s="14">
        <v>3.84</v>
      </c>
      <c r="L199" s="14">
        <v>3.97</v>
      </c>
      <c r="M199" s="14"/>
      <c r="N199" s="14">
        <v>10.0</v>
      </c>
      <c r="O199" s="14">
        <v>1.61</v>
      </c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</row>
    <row r="200" ht="12.75" customHeight="1">
      <c r="A200" s="14"/>
      <c r="B200" s="14"/>
      <c r="C200" s="14"/>
      <c r="D200" s="14"/>
      <c r="E200" s="14"/>
      <c r="F200" s="14"/>
      <c r="G200" s="65">
        <v>250.0</v>
      </c>
      <c r="H200" s="65">
        <v>3.35</v>
      </c>
      <c r="I200" s="65">
        <v>3.52</v>
      </c>
      <c r="J200" s="65">
        <v>3.69</v>
      </c>
      <c r="K200" s="65">
        <v>3.88</v>
      </c>
      <c r="L200" s="65">
        <v>4.0</v>
      </c>
      <c r="M200" s="14"/>
      <c r="N200" s="63"/>
      <c r="O200" s="63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</row>
    <row r="201" ht="12.75" customHeight="1">
      <c r="A201" s="14"/>
      <c r="B201" s="14"/>
      <c r="C201" s="14"/>
      <c r="D201" s="14"/>
      <c r="E201" s="14"/>
      <c r="F201" s="14"/>
      <c r="G201" s="63">
        <v>260.0</v>
      </c>
      <c r="H201" s="63">
        <v>3.45</v>
      </c>
      <c r="I201" s="63">
        <v>3.58</v>
      </c>
      <c r="J201" s="63">
        <v>3.74</v>
      </c>
      <c r="K201" s="63">
        <v>3.93</v>
      </c>
      <c r="L201" s="63">
        <v>4.03</v>
      </c>
      <c r="M201" s="14"/>
      <c r="N201" s="63">
        <v>15.0</v>
      </c>
      <c r="O201" s="63">
        <v>1.78</v>
      </c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</row>
    <row r="202" ht="12.75" customHeight="1">
      <c r="A202" s="14"/>
      <c r="B202" s="14"/>
      <c r="C202" s="14"/>
      <c r="D202" s="14"/>
      <c r="E202" s="14"/>
      <c r="F202" s="14"/>
      <c r="G202" s="47">
        <v>270.0</v>
      </c>
      <c r="H202" s="47">
        <v>3.55</v>
      </c>
      <c r="I202" s="47">
        <v>3.63</v>
      </c>
      <c r="J202" s="47">
        <v>3.78</v>
      </c>
      <c r="K202" s="69">
        <v>3.96</v>
      </c>
      <c r="L202" s="69">
        <v>4.07</v>
      </c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</row>
    <row r="203" ht="12.75" customHeight="1">
      <c r="A203" s="14"/>
      <c r="B203" s="14"/>
      <c r="C203" s="14"/>
      <c r="D203" s="14"/>
      <c r="E203" s="14"/>
      <c r="F203" s="14"/>
      <c r="G203" s="14">
        <v>280.0</v>
      </c>
      <c r="H203" s="14">
        <v>3.65</v>
      </c>
      <c r="I203" s="14">
        <v>3.69</v>
      </c>
      <c r="J203" s="14">
        <v>3.83</v>
      </c>
      <c r="K203" s="67">
        <v>4.0</v>
      </c>
      <c r="L203" s="67">
        <v>4.1</v>
      </c>
      <c r="M203" s="14"/>
      <c r="N203" s="14">
        <v>20.0</v>
      </c>
      <c r="O203" s="14">
        <v>1.87</v>
      </c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</row>
    <row r="204" ht="12.75" customHeight="1">
      <c r="A204" s="14"/>
      <c r="B204" s="14"/>
      <c r="C204" s="14"/>
      <c r="D204" s="14"/>
      <c r="E204" s="14"/>
      <c r="F204" s="14"/>
      <c r="G204" s="65">
        <v>290.0</v>
      </c>
      <c r="H204" s="65">
        <v>3.68</v>
      </c>
      <c r="I204" s="65">
        <v>3.74</v>
      </c>
      <c r="J204" s="66">
        <v>3.87</v>
      </c>
      <c r="K204" s="65">
        <v>4.02</v>
      </c>
      <c r="L204" s="66">
        <v>4.15</v>
      </c>
      <c r="M204" s="14"/>
      <c r="N204" s="63"/>
      <c r="O204" s="63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</row>
    <row r="205" ht="12.75" customHeight="1">
      <c r="A205" s="14"/>
      <c r="B205" s="14"/>
      <c r="C205" s="14"/>
      <c r="D205" s="14"/>
      <c r="E205" s="14"/>
      <c r="F205" s="14"/>
      <c r="G205" s="63">
        <v>300.0</v>
      </c>
      <c r="H205" s="63">
        <v>3.71</v>
      </c>
      <c r="I205" s="63">
        <v>3.78</v>
      </c>
      <c r="J205" s="64">
        <v>3.9</v>
      </c>
      <c r="K205" s="63">
        <v>4.04</v>
      </c>
      <c r="L205" s="64">
        <v>4.2</v>
      </c>
      <c r="M205" s="14"/>
      <c r="N205" s="63">
        <v>30.0</v>
      </c>
      <c r="O205" s="63">
        <v>1.98</v>
      </c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</row>
    <row r="206" ht="12.75" customHeight="1">
      <c r="A206" s="14"/>
      <c r="B206" s="14"/>
      <c r="C206" s="14"/>
      <c r="D206" s="14"/>
      <c r="E206" s="14"/>
      <c r="F206" s="14"/>
      <c r="G206" s="14">
        <v>320.0</v>
      </c>
      <c r="H206" s="14">
        <v>3.79</v>
      </c>
      <c r="I206" s="14">
        <v>3.84</v>
      </c>
      <c r="J206" s="14">
        <v>3.95</v>
      </c>
      <c r="K206" s="14">
        <v>4.12</v>
      </c>
      <c r="L206" s="14">
        <v>4.31</v>
      </c>
      <c r="M206" s="14"/>
      <c r="N206" s="14">
        <v>40.0</v>
      </c>
      <c r="O206" s="14">
        <v>2.06</v>
      </c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</row>
    <row r="207" ht="12.75" customHeight="1">
      <c r="A207" s="14"/>
      <c r="B207" s="14"/>
      <c r="C207" s="14"/>
      <c r="D207" s="14"/>
      <c r="E207" s="14"/>
      <c r="F207" s="14"/>
      <c r="G207" s="63">
        <v>340.0</v>
      </c>
      <c r="H207" s="63">
        <v>3.86</v>
      </c>
      <c r="I207" s="63">
        <v>3.88</v>
      </c>
      <c r="J207" s="63">
        <v>4.02</v>
      </c>
      <c r="K207" s="63">
        <v>4.26</v>
      </c>
      <c r="L207" s="63">
        <v>4.44</v>
      </c>
      <c r="M207" s="14"/>
      <c r="N207" s="63">
        <v>50.0</v>
      </c>
      <c r="O207" s="63">
        <v>2.14</v>
      </c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</row>
    <row r="208" ht="12.75" customHeight="1">
      <c r="A208" s="14"/>
      <c r="B208" s="14"/>
      <c r="C208" s="14"/>
      <c r="D208" s="14"/>
      <c r="E208" s="14"/>
      <c r="F208" s="14"/>
      <c r="G208" s="14">
        <v>360.0</v>
      </c>
      <c r="H208" s="14">
        <v>3.92</v>
      </c>
      <c r="I208" s="14">
        <v>3.95</v>
      </c>
      <c r="J208" s="14">
        <v>4.11</v>
      </c>
      <c r="K208" s="14">
        <v>4.41</v>
      </c>
      <c r="L208" s="14">
        <v>4.56</v>
      </c>
      <c r="M208" s="14"/>
      <c r="N208" s="14">
        <v>60.0</v>
      </c>
      <c r="O208" s="14">
        <v>2.21</v>
      </c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</row>
    <row r="209" ht="12.75" customHeight="1">
      <c r="A209" s="14"/>
      <c r="B209" s="14"/>
      <c r="C209" s="14"/>
      <c r="D209" s="14"/>
      <c r="E209" s="14"/>
      <c r="F209" s="14"/>
      <c r="G209" s="63">
        <v>380.0</v>
      </c>
      <c r="H209" s="63">
        <v>3.96</v>
      </c>
      <c r="I209" s="63">
        <v>4.03</v>
      </c>
      <c r="J209" s="63">
        <v>4.21</v>
      </c>
      <c r="K209" s="63">
        <v>4.55</v>
      </c>
      <c r="L209" s="63">
        <v>4.66</v>
      </c>
      <c r="M209" s="14"/>
      <c r="N209" s="63">
        <v>90.0</v>
      </c>
      <c r="O209" s="64">
        <v>2.4</v>
      </c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</row>
    <row r="210" ht="12.75" customHeight="1">
      <c r="A210" s="14"/>
      <c r="B210" s="14"/>
      <c r="C210" s="14"/>
      <c r="D210" s="14"/>
      <c r="E210" s="14"/>
      <c r="F210" s="14"/>
      <c r="G210" s="14">
        <v>400.0</v>
      </c>
      <c r="H210" s="14">
        <v>3.99</v>
      </c>
      <c r="I210" s="14">
        <v>4.11</v>
      </c>
      <c r="J210" s="67">
        <v>4.3</v>
      </c>
      <c r="K210" s="14">
        <v>4.69</v>
      </c>
      <c r="L210" s="14">
        <v>4.75</v>
      </c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</row>
    <row r="211" ht="12.75" customHeight="1">
      <c r="A211" s="14"/>
      <c r="B211" s="14"/>
      <c r="C211" s="14"/>
      <c r="D211" s="14"/>
      <c r="E211" s="14"/>
      <c r="F211" s="14"/>
      <c r="G211" s="63">
        <v>420.0</v>
      </c>
      <c r="H211" s="63">
        <v>4.02</v>
      </c>
      <c r="I211" s="63">
        <v>4.15</v>
      </c>
      <c r="J211" s="63">
        <v>4.34</v>
      </c>
      <c r="K211" s="63">
        <v>4.73</v>
      </c>
      <c r="L211" s="63">
        <v>4.79</v>
      </c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</row>
    <row r="212" ht="12.75" customHeight="1">
      <c r="A212" s="14"/>
      <c r="B212" s="14"/>
      <c r="C212" s="14"/>
      <c r="D212" s="14"/>
      <c r="E212" s="14"/>
      <c r="F212" s="14"/>
      <c r="G212" s="14">
        <v>440.0</v>
      </c>
      <c r="H212" s="14">
        <v>4.08</v>
      </c>
      <c r="I212" s="67">
        <v>4.2</v>
      </c>
      <c r="J212" s="14">
        <v>4.39</v>
      </c>
      <c r="K212" s="14">
        <v>4.78</v>
      </c>
      <c r="L212" s="14">
        <v>4.84</v>
      </c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</row>
    <row r="213" ht="12.75" customHeight="1">
      <c r="A213" s="14"/>
      <c r="B213" s="14"/>
      <c r="C213" s="14"/>
      <c r="D213" s="14"/>
      <c r="E213" s="14"/>
      <c r="F213" s="14"/>
      <c r="G213" s="63">
        <v>460.0</v>
      </c>
      <c r="H213" s="63">
        <v>4.17</v>
      </c>
      <c r="I213" s="63">
        <v>4.29</v>
      </c>
      <c r="J213" s="63">
        <v>4.48</v>
      </c>
      <c r="K213" s="63">
        <v>4.87</v>
      </c>
      <c r="L213" s="63">
        <v>4.93</v>
      </c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</row>
    <row r="214" ht="12.75" customHeight="1">
      <c r="A214" s="14"/>
      <c r="B214" s="14"/>
      <c r="C214" s="14"/>
      <c r="D214" s="14"/>
      <c r="E214" s="14"/>
      <c r="F214" s="14"/>
      <c r="G214" s="14">
        <v>480.0</v>
      </c>
      <c r="H214" s="14">
        <v>4.28</v>
      </c>
      <c r="I214" s="67">
        <v>4.4</v>
      </c>
      <c r="J214" s="14">
        <v>4.59</v>
      </c>
      <c r="K214" s="14">
        <v>4.98</v>
      </c>
      <c r="L214" s="14">
        <v>5.04</v>
      </c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</row>
    <row r="215" ht="12.75" customHeight="1">
      <c r="A215" s="14"/>
      <c r="B215" s="14"/>
      <c r="C215" s="14"/>
      <c r="D215" s="14"/>
      <c r="E215" s="14"/>
      <c r="F215" s="14"/>
      <c r="G215" s="63">
        <v>500.0</v>
      </c>
      <c r="H215" s="63">
        <v>4.41</v>
      </c>
      <c r="I215" s="63">
        <v>4.53</v>
      </c>
      <c r="J215" s="63">
        <v>4.72</v>
      </c>
      <c r="K215" s="63">
        <v>5.11</v>
      </c>
      <c r="L215" s="63">
        <v>5.17</v>
      </c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</row>
    <row r="216" ht="12.75" customHeight="1">
      <c r="A216" s="14"/>
      <c r="B216" s="14"/>
      <c r="C216" s="14"/>
      <c r="D216" s="14"/>
      <c r="E216" s="14"/>
      <c r="F216" s="14"/>
      <c r="G216" s="14">
        <v>520.0</v>
      </c>
      <c r="H216" s="14">
        <v>4.54</v>
      </c>
      <c r="I216" s="14">
        <v>4.85</v>
      </c>
      <c r="J216" s="14">
        <v>4.85</v>
      </c>
      <c r="K216" s="14">
        <v>5.24</v>
      </c>
      <c r="L216" s="67">
        <v>5.3</v>
      </c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</row>
    <row r="217" ht="12.75" customHeight="1">
      <c r="A217" s="14"/>
      <c r="B217" s="14"/>
      <c r="C217" s="14"/>
      <c r="D217" s="14"/>
      <c r="E217" s="14"/>
      <c r="F217" s="14"/>
      <c r="G217" s="63">
        <v>540.0</v>
      </c>
      <c r="H217" s="63">
        <v>4.65</v>
      </c>
      <c r="I217" s="63">
        <v>4.97</v>
      </c>
      <c r="J217" s="63">
        <v>4.97</v>
      </c>
      <c r="K217" s="63">
        <v>5.36</v>
      </c>
      <c r="L217" s="63">
        <v>5.42</v>
      </c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</row>
    <row r="218" ht="12.75" customHeight="1">
      <c r="A218" s="14"/>
      <c r="B218" s="14"/>
      <c r="C218" s="14"/>
      <c r="D218" s="14"/>
      <c r="E218" s="14"/>
      <c r="F218" s="14"/>
      <c r="G218" s="14">
        <v>560.0</v>
      </c>
      <c r="H218" s="14">
        <v>4.74</v>
      </c>
      <c r="I218" s="14">
        <v>5.05</v>
      </c>
      <c r="J218" s="14">
        <v>5.05</v>
      </c>
      <c r="K218" s="14">
        <v>5.44</v>
      </c>
      <c r="L218" s="67">
        <v>5.5</v>
      </c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</row>
    <row r="219" ht="12.75" customHeight="1">
      <c r="A219" s="14"/>
      <c r="B219" s="14"/>
      <c r="C219" s="14"/>
      <c r="D219" s="14"/>
      <c r="E219" s="14"/>
      <c r="F219" s="14"/>
      <c r="G219" s="63">
        <v>580.0</v>
      </c>
      <c r="H219" s="63">
        <v>4.79</v>
      </c>
      <c r="I219" s="64">
        <v>5.1</v>
      </c>
      <c r="J219" s="64">
        <v>5.1</v>
      </c>
      <c r="K219" s="63">
        <v>5.49</v>
      </c>
      <c r="L219" s="63">
        <v>5.55</v>
      </c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</row>
    <row r="220" ht="12.75" customHeight="1">
      <c r="A220" s="14"/>
      <c r="B220" s="14"/>
      <c r="C220" s="14"/>
      <c r="D220" s="14"/>
      <c r="E220" s="14"/>
      <c r="F220" s="14"/>
      <c r="G220" s="14">
        <v>600.0</v>
      </c>
      <c r="H220" s="14">
        <v>4.82</v>
      </c>
      <c r="I220" s="14">
        <v>5.13</v>
      </c>
      <c r="J220" s="14">
        <v>5.13</v>
      </c>
      <c r="K220" s="14">
        <v>5.52</v>
      </c>
      <c r="L220" s="14">
        <v>5.58</v>
      </c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</row>
    <row r="221" ht="12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</row>
    <row r="222" ht="12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</row>
    <row r="223" ht="12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</row>
    <row r="224" ht="12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</row>
    <row r="225" ht="12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</row>
    <row r="226" ht="12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</row>
    <row r="227" ht="12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</row>
    <row r="228" ht="12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</row>
    <row r="229" ht="12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</row>
    <row r="230" ht="12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</row>
    <row r="231" ht="12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</row>
    <row r="232" ht="12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</row>
    <row r="233" ht="12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</row>
    <row r="234" ht="12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</row>
    <row r="235" ht="12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</row>
    <row r="236" ht="12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</row>
    <row r="237" ht="12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</row>
    <row r="238" ht="12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</row>
    <row r="239" ht="12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</row>
    <row r="240" ht="12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</row>
    <row r="241" ht="12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</row>
    <row r="242" ht="12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</row>
    <row r="243" ht="12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</row>
    <row r="244" ht="12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</row>
    <row r="245" ht="12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</row>
    <row r="246" ht="12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</row>
    <row r="247" ht="12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</row>
    <row r="248" ht="12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</row>
    <row r="249" ht="12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</row>
    <row r="250" ht="12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</row>
    <row r="251" ht="12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</row>
    <row r="252" ht="12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</row>
    <row r="253" ht="12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</row>
    <row r="254" ht="12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</row>
    <row r="255" ht="12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</row>
    <row r="256" ht="12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</row>
    <row r="257" ht="12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</row>
    <row r="258" ht="12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</row>
    <row r="259" ht="12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</row>
    <row r="260" ht="12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</row>
    <row r="261" ht="12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</row>
    <row r="262" ht="12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</row>
    <row r="263" ht="12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</row>
    <row r="264" ht="12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</row>
    <row r="265" ht="12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</row>
    <row r="266" ht="12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</row>
    <row r="267" ht="12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</row>
    <row r="268" ht="12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</row>
    <row r="269" ht="12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</row>
    <row r="270" ht="12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</row>
    <row r="271" ht="12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</row>
    <row r="272" ht="12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</row>
    <row r="273" ht="12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</row>
    <row r="274" ht="12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</row>
    <row r="275" ht="12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</row>
    <row r="276" ht="12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</row>
    <row r="277" ht="12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</row>
    <row r="278" ht="12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</row>
    <row r="279" ht="12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</row>
    <row r="280" ht="12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</row>
    <row r="281" ht="12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</row>
    <row r="282" ht="12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</row>
    <row r="283" ht="12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</row>
    <row r="284" ht="12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</row>
    <row r="285" ht="12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</row>
    <row r="286" ht="12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</row>
    <row r="287" ht="12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</row>
    <row r="288" ht="12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</row>
    <row r="289" ht="12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</row>
    <row r="290" ht="12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</row>
    <row r="291" ht="12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</row>
    <row r="292" ht="12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</row>
    <row r="293" ht="12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</row>
    <row r="294" ht="12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</row>
    <row r="295" ht="12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</row>
    <row r="296" ht="12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</row>
    <row r="297" ht="12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</row>
    <row r="298" ht="12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</row>
    <row r="299" ht="12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</row>
    <row r="300" ht="12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</row>
    <row r="301" ht="12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</row>
    <row r="302" ht="12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</row>
    <row r="303" ht="12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</row>
    <row r="304" ht="12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</row>
    <row r="305" ht="12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</row>
    <row r="306" ht="12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</row>
    <row r="307" ht="12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</row>
    <row r="308" ht="12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</row>
    <row r="309" ht="12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</row>
    <row r="310" ht="12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</row>
    <row r="311" ht="12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</row>
    <row r="312" ht="12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</row>
    <row r="313" ht="12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</row>
    <row r="314" ht="12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</row>
    <row r="315" ht="12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</row>
    <row r="316" ht="12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</row>
    <row r="317" ht="12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</row>
    <row r="318" ht="12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</row>
    <row r="319" ht="12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</row>
    <row r="320" ht="12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</row>
    <row r="321" ht="12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</row>
    <row r="322" ht="12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</row>
    <row r="323" ht="12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</row>
    <row r="324" ht="12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</row>
    <row r="325" ht="12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</row>
    <row r="326" ht="12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</row>
    <row r="327" ht="12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</row>
    <row r="328" ht="12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</row>
    <row r="329" ht="12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</row>
    <row r="330" ht="12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</row>
    <row r="331" ht="12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</row>
    <row r="332" ht="12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</row>
    <row r="333" ht="12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</row>
    <row r="334" ht="12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</row>
    <row r="335" ht="12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</row>
    <row r="336" ht="12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</row>
    <row r="337" ht="12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</row>
    <row r="338" ht="12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</row>
    <row r="339" ht="12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</row>
    <row r="340" ht="12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</row>
    <row r="341" ht="12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</row>
    <row r="342" ht="12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</row>
    <row r="343" ht="12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</row>
    <row r="344" ht="12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</row>
    <row r="345" ht="12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</row>
    <row r="346" ht="12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</row>
    <row r="347" ht="12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</row>
    <row r="348" ht="12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</row>
    <row r="349" ht="12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</row>
    <row r="350" ht="12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</row>
    <row r="351" ht="12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</row>
    <row r="352" ht="12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</row>
    <row r="353" ht="12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</row>
    <row r="354" ht="12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</row>
    <row r="355" ht="12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</row>
    <row r="356" ht="12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</row>
    <row r="357" ht="12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</row>
    <row r="358" ht="12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</row>
    <row r="359" ht="12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</row>
    <row r="360" ht="12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</row>
    <row r="361" ht="12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</row>
    <row r="362" ht="12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</row>
    <row r="363" ht="12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</row>
    <row r="364" ht="12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</row>
    <row r="365" ht="12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</row>
    <row r="366" ht="12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</row>
    <row r="367" ht="12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</row>
    <row r="368" ht="12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</row>
    <row r="369" ht="12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</row>
    <row r="370" ht="12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</row>
    <row r="371" ht="12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</row>
    <row r="372" ht="12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</row>
    <row r="373" ht="12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</row>
    <row r="374" ht="12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</row>
    <row r="375" ht="12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</row>
    <row r="376" ht="12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</row>
    <row r="377" ht="12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</row>
    <row r="378" ht="12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</row>
    <row r="379" ht="12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</row>
    <row r="380" ht="12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</row>
    <row r="381" ht="12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</row>
    <row r="382" ht="12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</row>
    <row r="383" ht="12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</row>
    <row r="384" ht="12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</row>
    <row r="385" ht="12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</row>
    <row r="386" ht="12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</row>
    <row r="387" ht="12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</row>
    <row r="388" ht="12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</row>
    <row r="389" ht="12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</row>
    <row r="390" ht="12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</row>
    <row r="391" ht="12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</row>
    <row r="392" ht="12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</row>
    <row r="393" ht="12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</row>
    <row r="394" ht="12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</row>
    <row r="395" ht="12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</row>
    <row r="396" ht="12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</row>
    <row r="397" ht="12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</row>
    <row r="398" ht="12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</row>
    <row r="399" ht="12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</row>
    <row r="400" ht="12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</row>
    <row r="401" ht="12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</row>
    <row r="402" ht="12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</row>
    <row r="403" ht="12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</row>
    <row r="404" ht="12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</row>
    <row r="405" ht="12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</row>
    <row r="406" ht="12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</row>
    <row r="407" ht="12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</row>
    <row r="408" ht="12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</row>
    <row r="409" ht="12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</row>
    <row r="410" ht="12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</row>
    <row r="411" ht="12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</row>
    <row r="412" ht="12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</row>
    <row r="413" ht="12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</row>
    <row r="414" ht="12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</row>
    <row r="415" ht="12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</row>
    <row r="416" ht="12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</row>
    <row r="417" ht="12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</row>
    <row r="418" ht="12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</row>
    <row r="419" ht="12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</row>
    <row r="420" ht="12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</row>
    <row r="421" ht="12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</row>
    <row r="422" ht="12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</row>
    <row r="423" ht="12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</row>
    <row r="424" ht="12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</row>
    <row r="425" ht="12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</row>
    <row r="426" ht="12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</row>
    <row r="427" ht="12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</row>
    <row r="428" ht="12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</row>
    <row r="429" ht="12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</row>
    <row r="430" ht="12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</row>
    <row r="431" ht="12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</row>
    <row r="432" ht="12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</row>
    <row r="433" ht="12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</row>
    <row r="434" ht="12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</row>
    <row r="435" ht="12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</row>
    <row r="436" ht="12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</row>
    <row r="437" ht="12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</row>
    <row r="438" ht="12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</row>
    <row r="439" ht="12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</row>
    <row r="440" ht="12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</row>
    <row r="441" ht="12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</row>
    <row r="442" ht="12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</row>
    <row r="443" ht="12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</row>
    <row r="444" ht="12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</row>
    <row r="445" ht="12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</row>
    <row r="446" ht="12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</row>
    <row r="447" ht="12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</row>
    <row r="448" ht="12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</row>
    <row r="449" ht="12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</row>
    <row r="450" ht="12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</row>
    <row r="451" ht="12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</row>
    <row r="452" ht="12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</row>
    <row r="453" ht="12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</row>
    <row r="454" ht="12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</row>
    <row r="455" ht="12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</row>
    <row r="456" ht="12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</row>
    <row r="457" ht="12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</row>
    <row r="458" ht="12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</row>
    <row r="459" ht="12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</row>
    <row r="460" ht="12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</row>
    <row r="461" ht="12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</row>
    <row r="462" ht="12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</row>
    <row r="463" ht="12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</row>
    <row r="464" ht="12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</row>
    <row r="465" ht="12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</row>
    <row r="466" ht="12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</row>
    <row r="467" ht="12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</row>
    <row r="468" ht="12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</row>
    <row r="469" ht="12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</row>
    <row r="470" ht="12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</row>
    <row r="471" ht="12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</row>
    <row r="472" ht="12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</row>
    <row r="473" ht="12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</row>
    <row r="474" ht="12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</row>
    <row r="475" ht="12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</row>
    <row r="476" ht="12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</row>
    <row r="477" ht="12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</row>
    <row r="478" ht="12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</row>
    <row r="479" ht="12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</row>
    <row r="480" ht="12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</row>
    <row r="481" ht="12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</row>
    <row r="482" ht="12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</row>
    <row r="483" ht="12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</row>
    <row r="484" ht="12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</row>
    <row r="485" ht="12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</row>
    <row r="486" ht="12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</row>
    <row r="487" ht="12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</row>
    <row r="488" ht="12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</row>
    <row r="489" ht="12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</row>
    <row r="490" ht="12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</row>
    <row r="491" ht="12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</row>
    <row r="492" ht="12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</row>
    <row r="493" ht="12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</row>
    <row r="494" ht="12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</row>
    <row r="495" ht="12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</row>
    <row r="496" ht="12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</row>
    <row r="497" ht="12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</row>
    <row r="498" ht="12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</row>
    <row r="499" ht="12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</row>
    <row r="500" ht="12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</row>
    <row r="501" ht="12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</row>
    <row r="502" ht="12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</row>
    <row r="503" ht="12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</row>
    <row r="504" ht="12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</row>
    <row r="505" ht="12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</row>
    <row r="506" ht="12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</row>
    <row r="507" ht="12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</row>
    <row r="508" ht="12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</row>
    <row r="509" ht="12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</row>
    <row r="510" ht="12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</row>
    <row r="511" ht="12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</row>
    <row r="512" ht="12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</row>
    <row r="513" ht="12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</row>
    <row r="514" ht="12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</row>
    <row r="515" ht="12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</row>
    <row r="516" ht="12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</row>
    <row r="517" ht="12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</row>
    <row r="518" ht="12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</row>
    <row r="519" ht="12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</row>
    <row r="520" ht="12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</row>
    <row r="521" ht="12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</row>
    <row r="522" ht="12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</row>
    <row r="523" ht="12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</row>
    <row r="524" ht="12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</row>
    <row r="525" ht="12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</row>
    <row r="526" ht="12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</row>
    <row r="527" ht="12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</row>
    <row r="528" ht="12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</row>
    <row r="529" ht="12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</row>
    <row r="530" ht="12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</row>
    <row r="531" ht="12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</row>
    <row r="532" ht="12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</row>
    <row r="533" ht="12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</row>
    <row r="534" ht="12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</row>
    <row r="535" ht="12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</row>
    <row r="536" ht="12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</row>
    <row r="537" ht="12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</row>
    <row r="538" ht="12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</row>
    <row r="539" ht="12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</row>
    <row r="540" ht="12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</row>
    <row r="541" ht="12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</row>
    <row r="542" ht="12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</row>
    <row r="543" ht="12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</row>
    <row r="544" ht="12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</row>
    <row r="545" ht="12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</row>
    <row r="546" ht="12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</row>
    <row r="547" ht="12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</row>
    <row r="548" ht="12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</row>
    <row r="549" ht="12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</row>
    <row r="550" ht="12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</row>
    <row r="551" ht="12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</row>
    <row r="552" ht="12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</row>
    <row r="553" ht="12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</row>
    <row r="554" ht="12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</row>
    <row r="555" ht="12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</row>
    <row r="556" ht="12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</row>
    <row r="557" ht="12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</row>
    <row r="558" ht="12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</row>
    <row r="559" ht="12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</row>
    <row r="560" ht="12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</row>
    <row r="561" ht="12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</row>
    <row r="562" ht="12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</row>
    <row r="563" ht="12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</row>
    <row r="564" ht="12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</row>
    <row r="565" ht="12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</row>
    <row r="566" ht="12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</row>
    <row r="567" ht="12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</row>
    <row r="568" ht="12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</row>
    <row r="569" ht="12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</row>
    <row r="570" ht="12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</row>
    <row r="571" ht="12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</row>
    <row r="572" ht="12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</row>
    <row r="573" ht="12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</row>
    <row r="574" ht="12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</row>
    <row r="575" ht="12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</row>
    <row r="576" ht="12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</row>
    <row r="577" ht="12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</row>
    <row r="578" ht="12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</row>
    <row r="579" ht="12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</row>
    <row r="580" ht="12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</row>
    <row r="581" ht="12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</row>
    <row r="582" ht="12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</row>
    <row r="583" ht="12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</row>
    <row r="584" ht="12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</row>
    <row r="585" ht="12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</row>
    <row r="586" ht="12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</row>
    <row r="587" ht="12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</row>
    <row r="588" ht="12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</row>
    <row r="589" ht="12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</row>
    <row r="590" ht="12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</row>
    <row r="591" ht="12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</row>
    <row r="592" ht="12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</row>
    <row r="593" ht="12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</row>
    <row r="594" ht="12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</row>
    <row r="595" ht="12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</row>
    <row r="596" ht="12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</row>
    <row r="597" ht="12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</row>
    <row r="598" ht="12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</row>
    <row r="599" ht="12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</row>
    <row r="600" ht="12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</row>
    <row r="601" ht="12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</row>
    <row r="602" ht="12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</row>
    <row r="603" ht="12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</row>
    <row r="604" ht="12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</row>
    <row r="605" ht="12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</row>
    <row r="606" ht="12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</row>
    <row r="607" ht="12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</row>
    <row r="608" ht="12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</row>
    <row r="609" ht="12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</row>
    <row r="610" ht="12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</row>
    <row r="611" ht="12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</row>
    <row r="612" ht="12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</row>
    <row r="613" ht="12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</row>
    <row r="614" ht="12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</row>
    <row r="615" ht="12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</row>
    <row r="616" ht="12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</row>
    <row r="617" ht="12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</row>
    <row r="618" ht="12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</row>
    <row r="619" ht="12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</row>
    <row r="620" ht="12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</row>
    <row r="621" ht="12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</row>
    <row r="622" ht="12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</row>
    <row r="623" ht="12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</row>
    <row r="624" ht="12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</row>
    <row r="625" ht="12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</row>
    <row r="626" ht="12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</row>
    <row r="627" ht="12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</row>
    <row r="628" ht="12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</row>
    <row r="629" ht="12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</row>
    <row r="630" ht="12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</row>
    <row r="631" ht="12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</row>
    <row r="632" ht="12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</row>
    <row r="633" ht="12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</row>
    <row r="634" ht="12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</row>
    <row r="635" ht="12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</row>
    <row r="636" ht="12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</row>
    <row r="637" ht="12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</row>
    <row r="638" ht="12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</row>
    <row r="639" ht="12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</row>
    <row r="640" ht="12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</row>
    <row r="641" ht="12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</row>
    <row r="642" ht="12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</row>
    <row r="643" ht="12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</row>
    <row r="644" ht="12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</row>
    <row r="645" ht="12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</row>
    <row r="646" ht="12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</row>
    <row r="647" ht="12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</row>
    <row r="648" ht="12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</row>
    <row r="649" ht="12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</row>
    <row r="650" ht="12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</row>
    <row r="651" ht="12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</row>
    <row r="652" ht="12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</row>
    <row r="653" ht="12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</row>
    <row r="654" ht="12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</row>
    <row r="655" ht="12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</row>
    <row r="656" ht="12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</row>
    <row r="657" ht="12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</row>
    <row r="658" ht="12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</row>
    <row r="659" ht="12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</row>
    <row r="660" ht="12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</row>
    <row r="661" ht="12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</row>
    <row r="662" ht="12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</row>
    <row r="663" ht="12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</row>
    <row r="664" ht="12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</row>
    <row r="665" ht="12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</row>
    <row r="666" ht="12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</row>
    <row r="667" ht="12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</row>
    <row r="668" ht="12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</row>
    <row r="669" ht="12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</row>
    <row r="670" ht="12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</row>
    <row r="671" ht="12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</row>
    <row r="672" ht="12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</row>
    <row r="673" ht="12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</row>
    <row r="674" ht="12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</row>
    <row r="675" ht="12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</row>
    <row r="676" ht="12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</row>
    <row r="677" ht="12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</row>
    <row r="678" ht="12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</row>
    <row r="679" ht="12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</row>
    <row r="680" ht="12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</row>
    <row r="681" ht="12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</row>
    <row r="682" ht="12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</row>
    <row r="683" ht="12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</row>
    <row r="684" ht="12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</row>
    <row r="685" ht="12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</row>
    <row r="686" ht="12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</row>
    <row r="687" ht="12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</row>
    <row r="688" ht="12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</row>
    <row r="689" ht="12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</row>
    <row r="690" ht="12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</row>
    <row r="691" ht="12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</row>
    <row r="692" ht="12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</row>
    <row r="693" ht="12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</row>
    <row r="694" ht="12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</row>
    <row r="695" ht="12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</row>
    <row r="696" ht="12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</row>
    <row r="697" ht="12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</row>
    <row r="698" ht="12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</row>
    <row r="699" ht="12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</row>
    <row r="700" ht="12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</row>
    <row r="701" ht="12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</row>
    <row r="702" ht="12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</row>
    <row r="703" ht="12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</row>
    <row r="704" ht="12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</row>
    <row r="705" ht="12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</row>
    <row r="706" ht="12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</row>
    <row r="707" ht="12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</row>
    <row r="708" ht="12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</row>
    <row r="709" ht="12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</row>
    <row r="710" ht="12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</row>
    <row r="711" ht="12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</row>
    <row r="712" ht="12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</row>
    <row r="713" ht="12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</row>
    <row r="714" ht="12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</row>
    <row r="715" ht="12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</row>
    <row r="716" ht="12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</row>
    <row r="717" ht="12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</row>
    <row r="718" ht="12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</row>
    <row r="719" ht="12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</row>
    <row r="720" ht="12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</row>
    <row r="721" ht="12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</row>
    <row r="722" ht="12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</row>
    <row r="723" ht="12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</row>
    <row r="724" ht="12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</row>
    <row r="725" ht="12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</row>
    <row r="726" ht="12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</row>
    <row r="727" ht="12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</row>
    <row r="728" ht="12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</row>
    <row r="729" ht="12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</row>
    <row r="730" ht="12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</row>
    <row r="731" ht="12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</row>
    <row r="732" ht="12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</row>
    <row r="733" ht="12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</row>
    <row r="734" ht="12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</row>
    <row r="735" ht="12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</row>
    <row r="736" ht="12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</row>
    <row r="737" ht="12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</row>
    <row r="738" ht="12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</row>
    <row r="739" ht="12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</row>
    <row r="740" ht="12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</row>
    <row r="741" ht="12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</row>
    <row r="742" ht="12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</row>
    <row r="743" ht="12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</row>
    <row r="744" ht="12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</row>
    <row r="745" ht="12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</row>
    <row r="746" ht="12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</row>
    <row r="747" ht="12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</row>
    <row r="748" ht="12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</row>
    <row r="749" ht="12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</row>
    <row r="750" ht="12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</row>
    <row r="751" ht="12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</row>
    <row r="752" ht="12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</row>
    <row r="753" ht="12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</row>
    <row r="754" ht="12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</row>
    <row r="755" ht="12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</row>
    <row r="756" ht="12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</row>
    <row r="757" ht="12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</row>
    <row r="758" ht="12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</row>
    <row r="759" ht="12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</row>
    <row r="760" ht="12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</row>
    <row r="761" ht="12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</row>
    <row r="762" ht="12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</row>
    <row r="763" ht="12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</row>
    <row r="764" ht="12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</row>
    <row r="765" ht="12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</row>
    <row r="766" ht="12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</row>
    <row r="767" ht="12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</row>
    <row r="768" ht="12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</row>
    <row r="769" ht="12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</row>
    <row r="770" ht="12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</row>
    <row r="771" ht="12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</row>
    <row r="772" ht="12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</row>
    <row r="773" ht="12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</row>
    <row r="774" ht="12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</row>
    <row r="775" ht="12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</row>
    <row r="776" ht="12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</row>
    <row r="777" ht="12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</row>
    <row r="778" ht="12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</row>
    <row r="779" ht="12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</row>
    <row r="780" ht="12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</row>
    <row r="781" ht="12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</row>
    <row r="782" ht="12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</row>
    <row r="783" ht="12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</row>
    <row r="784" ht="12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</row>
    <row r="785" ht="12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</row>
    <row r="786" ht="12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</row>
    <row r="787" ht="12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</row>
    <row r="788" ht="12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</row>
    <row r="789" ht="12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</row>
    <row r="790" ht="12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</row>
    <row r="791" ht="12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</row>
    <row r="792" ht="12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</row>
    <row r="793" ht="12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</row>
    <row r="794" ht="12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</row>
    <row r="795" ht="12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</row>
    <row r="796" ht="12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</row>
    <row r="797" ht="12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</row>
    <row r="798" ht="12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</row>
    <row r="799" ht="12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</row>
    <row r="800" ht="12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</row>
    <row r="801" ht="12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</row>
    <row r="802" ht="12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</row>
    <row r="803" ht="12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</row>
    <row r="804" ht="12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</row>
    <row r="805" ht="12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</row>
    <row r="806" ht="12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</row>
    <row r="807" ht="12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</row>
    <row r="808" ht="12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</row>
    <row r="809" ht="12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</row>
    <row r="810" ht="12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</row>
    <row r="811" ht="12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</row>
    <row r="812" ht="12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</row>
    <row r="813" ht="12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</row>
    <row r="814" ht="12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</row>
    <row r="815" ht="12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</row>
    <row r="816" ht="12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</row>
    <row r="817" ht="12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</row>
    <row r="818" ht="12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</row>
    <row r="819" ht="12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</row>
    <row r="820" ht="12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</row>
    <row r="821" ht="12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</row>
    <row r="822" ht="12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</row>
    <row r="823" ht="12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</row>
    <row r="824" ht="12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</row>
    <row r="825" ht="12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</row>
    <row r="826" ht="12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</row>
    <row r="827" ht="12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</row>
    <row r="828" ht="12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</row>
    <row r="829" ht="12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</row>
    <row r="830" ht="12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</row>
    <row r="831" ht="12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</row>
    <row r="832" ht="12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</row>
    <row r="833" ht="12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</row>
    <row r="834" ht="12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</row>
    <row r="835" ht="12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</row>
    <row r="836" ht="12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</row>
    <row r="837" ht="12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</row>
    <row r="838" ht="12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</row>
    <row r="839" ht="12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</row>
    <row r="840" ht="12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</row>
    <row r="841" ht="12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</row>
    <row r="842" ht="12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</row>
    <row r="843" ht="12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</row>
    <row r="844" ht="12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</row>
    <row r="845" ht="12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</row>
    <row r="846" ht="12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</row>
    <row r="847" ht="12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</row>
    <row r="848" ht="12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</row>
    <row r="849" ht="12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</row>
    <row r="850" ht="12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</row>
    <row r="851" ht="12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</row>
    <row r="852" ht="12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</row>
    <row r="853" ht="12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</row>
    <row r="854" ht="12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</row>
    <row r="855" ht="12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</row>
    <row r="856" ht="12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</row>
    <row r="857" ht="12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</row>
    <row r="858" ht="12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</row>
    <row r="859" ht="12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</row>
    <row r="860" ht="12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</row>
    <row r="861" ht="12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</row>
    <row r="862" ht="12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</row>
    <row r="863" ht="12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</row>
    <row r="864" ht="12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</row>
    <row r="865" ht="12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</row>
    <row r="866" ht="12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</row>
    <row r="867" ht="12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</row>
    <row r="868" ht="12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</row>
    <row r="869" ht="12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</row>
    <row r="870" ht="12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</row>
    <row r="871" ht="12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</row>
    <row r="872" ht="12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</row>
    <row r="873" ht="12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</row>
    <row r="874" ht="12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</row>
    <row r="875" ht="12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</row>
    <row r="876" ht="12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</row>
    <row r="877" ht="12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</row>
    <row r="878" ht="12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</row>
    <row r="879" ht="12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</row>
    <row r="880" ht="12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</row>
    <row r="881" ht="12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</row>
    <row r="882" ht="12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</row>
    <row r="883" ht="12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</row>
    <row r="884" ht="12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</row>
    <row r="885" ht="12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</row>
    <row r="886" ht="12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</row>
    <row r="887" ht="12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</row>
    <row r="888" ht="12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</row>
    <row r="889" ht="12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</row>
    <row r="890" ht="12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</row>
    <row r="891" ht="12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</row>
    <row r="892" ht="12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</row>
    <row r="893" ht="12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</row>
    <row r="894" ht="12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</row>
    <row r="895" ht="12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</row>
    <row r="896" ht="12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</row>
    <row r="897" ht="12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</row>
    <row r="898" ht="12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</row>
    <row r="899" ht="12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</row>
    <row r="900" ht="12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</row>
    <row r="901" ht="12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</row>
    <row r="902" ht="12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</row>
    <row r="903" ht="12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</row>
    <row r="904" ht="12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</row>
    <row r="905" ht="12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</row>
    <row r="906" ht="12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</row>
    <row r="907" ht="12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</row>
    <row r="908" ht="12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</row>
    <row r="909" ht="12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</row>
    <row r="910" ht="12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</row>
    <row r="911" ht="12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</row>
    <row r="912" ht="12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</row>
    <row r="913" ht="12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</row>
    <row r="914" ht="12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</row>
    <row r="915" ht="12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</row>
    <row r="916" ht="12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</row>
    <row r="917" ht="12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</row>
    <row r="918" ht="12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</row>
    <row r="919" ht="12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</row>
    <row r="920" ht="12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</row>
    <row r="921" ht="12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</row>
    <row r="922" ht="12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</row>
    <row r="923" ht="12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</row>
    <row r="924" ht="12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</row>
    <row r="925" ht="12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</row>
    <row r="926" ht="12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</row>
    <row r="927" ht="12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</row>
    <row r="928" ht="12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</row>
    <row r="929" ht="12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</row>
    <row r="930" ht="12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</row>
    <row r="931" ht="12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</row>
    <row r="932" ht="12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</row>
    <row r="933" ht="12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</row>
    <row r="934" ht="12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</row>
    <row r="935" ht="12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</row>
    <row r="936" ht="12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</row>
    <row r="937" ht="12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</row>
    <row r="938" ht="12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</row>
    <row r="939" ht="12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</row>
    <row r="940" ht="12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</row>
    <row r="941" ht="12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</row>
    <row r="942" ht="12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</row>
    <row r="943" ht="12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</row>
    <row r="944" ht="12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</row>
    <row r="945" ht="12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</row>
    <row r="946" ht="12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</row>
    <row r="947" ht="12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</row>
    <row r="948" ht="12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</row>
    <row r="949" ht="12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</row>
    <row r="950" ht="12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</row>
    <row r="951" ht="12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</row>
    <row r="952" ht="12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</row>
    <row r="953" ht="12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</row>
    <row r="954" ht="12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</row>
    <row r="955" ht="12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</row>
    <row r="956" ht="12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</row>
    <row r="957" ht="12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</row>
    <row r="958" ht="12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</row>
    <row r="959" ht="12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</row>
    <row r="960" ht="12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</row>
    <row r="961" ht="12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</row>
    <row r="962" ht="12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</row>
    <row r="963" ht="12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</row>
    <row r="964" ht="12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</row>
    <row r="965" ht="12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</row>
    <row r="966" ht="12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</row>
    <row r="967" ht="12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</row>
    <row r="968" ht="12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</row>
    <row r="969" ht="12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</row>
    <row r="970" ht="12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</row>
    <row r="971" ht="12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</row>
    <row r="972" ht="12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</row>
    <row r="973" ht="12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</row>
    <row r="974" ht="12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</row>
    <row r="975" ht="12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</row>
    <row r="976" ht="12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</row>
    <row r="977" ht="12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</row>
    <row r="978" ht="12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</row>
    <row r="979" ht="12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</row>
    <row r="980" ht="12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</row>
    <row r="981" ht="12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</row>
    <row r="982" ht="12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</row>
    <row r="983" ht="12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</row>
    <row r="984" ht="12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</row>
    <row r="985" ht="12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</row>
    <row r="986" ht="12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</row>
    <row r="987" ht="12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</row>
    <row r="988" ht="12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</row>
    <row r="989" ht="12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</row>
    <row r="990" ht="12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</row>
    <row r="991" ht="12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</row>
    <row r="992" ht="12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</row>
    <row r="993" ht="12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</row>
    <row r="994" ht="12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</row>
    <row r="995" ht="12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</row>
    <row r="996" ht="12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</row>
    <row r="997" ht="12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</row>
    <row r="998" ht="12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</row>
    <row r="999" ht="12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</row>
    <row r="1000" ht="12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</row>
    <row r="1001" ht="12.75" customHeight="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</row>
    <row r="1002" ht="12.75" customHeight="1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</row>
    <row r="1003" ht="12.75" customHeight="1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</row>
    <row r="1004" ht="12.75" customHeight="1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</row>
    <row r="1005" ht="12.75" customHeight="1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</row>
    <row r="1006" ht="12.75" customHeight="1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</row>
    <row r="1007" ht="12.75" customHeight="1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</row>
    <row r="1008" ht="12.75" customHeight="1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</row>
    <row r="1009" ht="12.75" customHeight="1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</row>
    <row r="1010" ht="12.75" customHeight="1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</row>
    <row r="1011" ht="12.75" customHeight="1">
      <c r="A1011" s="14"/>
      <c r="B1011" s="14"/>
      <c r="C1011" s="1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</row>
    <row r="1012" ht="12.75" customHeight="1">
      <c r="A1012" s="14"/>
      <c r="B1012" s="14"/>
      <c r="C1012" s="1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</row>
    <row r="1013" ht="12.75" customHeight="1">
      <c r="A1013" s="14"/>
      <c r="B1013" s="14"/>
      <c r="C1013" s="14"/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</row>
    <row r="1014" ht="12.75" customHeight="1">
      <c r="A1014" s="14"/>
      <c r="B1014" s="14"/>
      <c r="C1014" s="14"/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</row>
    <row r="1015" ht="12.75" customHeight="1">
      <c r="A1015" s="14"/>
      <c r="B1015" s="14"/>
      <c r="C1015" s="14"/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</row>
    <row r="1016" ht="12.75" customHeight="1">
      <c r="A1016" s="14"/>
      <c r="B1016" s="14"/>
      <c r="C1016" s="14"/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</row>
    <row r="1017" ht="12.75" customHeight="1">
      <c r="A1017" s="14"/>
      <c r="B1017" s="14"/>
      <c r="C1017" s="14"/>
      <c r="D1017" s="14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</row>
    <row r="1018" ht="12.75" customHeight="1">
      <c r="A1018" s="14"/>
      <c r="B1018" s="14"/>
      <c r="C1018" s="14"/>
      <c r="D1018" s="14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</row>
    <row r="1019" ht="12.75" customHeight="1">
      <c r="A1019" s="14"/>
      <c r="B1019" s="14"/>
      <c r="C1019" s="14"/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</row>
    <row r="1020" ht="12.75" customHeight="1">
      <c r="A1020" s="14"/>
      <c r="B1020" s="14"/>
      <c r="C1020" s="14"/>
      <c r="D1020" s="14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</row>
    <row r="1021" ht="12.75" customHeight="1">
      <c r="A1021" s="14"/>
      <c r="B1021" s="14"/>
      <c r="C1021" s="14"/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</row>
    <row r="1022" ht="12.75" customHeight="1">
      <c r="A1022" s="14"/>
      <c r="B1022" s="14"/>
      <c r="C1022" s="14"/>
      <c r="D1022" s="14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</row>
    <row r="1023" ht="12.75" customHeight="1">
      <c r="A1023" s="14"/>
      <c r="B1023" s="14"/>
      <c r="C1023" s="14"/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</row>
    <row r="1024" ht="12.75" customHeight="1">
      <c r="A1024" s="14"/>
      <c r="B1024" s="14"/>
      <c r="C1024" s="14"/>
      <c r="D1024" s="14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</row>
    <row r="1025" ht="12.75" customHeight="1">
      <c r="A1025" s="14"/>
      <c r="B1025" s="14"/>
      <c r="C1025" s="14"/>
      <c r="D1025" s="14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</row>
    <row r="1026" ht="12.75" customHeight="1">
      <c r="A1026" s="14"/>
      <c r="B1026" s="14"/>
      <c r="C1026" s="14"/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</row>
    <row r="1027" ht="12.75" customHeight="1">
      <c r="A1027" s="14"/>
      <c r="B1027" s="14"/>
      <c r="C1027" s="14"/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</row>
    <row r="1028" ht="12.75" customHeight="1">
      <c r="A1028" s="14"/>
      <c r="B1028" s="14"/>
      <c r="C1028" s="14"/>
      <c r="D1028" s="14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</row>
    <row r="1029" ht="12.75" customHeight="1">
      <c r="A1029" s="14"/>
      <c r="B1029" s="14"/>
      <c r="C1029" s="14"/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</row>
    <row r="1030" ht="12.75" customHeight="1">
      <c r="A1030" s="14"/>
      <c r="B1030" s="14"/>
      <c r="C1030" s="14"/>
      <c r="D1030" s="14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</row>
    <row r="1031" ht="12.75" customHeight="1">
      <c r="A1031" s="14"/>
      <c r="B1031" s="14"/>
      <c r="C1031" s="14"/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</row>
    <row r="1032" ht="12.75" customHeight="1">
      <c r="A1032" s="14"/>
      <c r="B1032" s="14"/>
      <c r="C1032" s="14"/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</row>
    <row r="1033" ht="12.75" customHeight="1">
      <c r="A1033" s="14"/>
      <c r="B1033" s="14"/>
      <c r="C1033" s="14"/>
      <c r="D1033" s="14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</row>
    <row r="1034" ht="12.75" customHeight="1">
      <c r="A1034" s="14"/>
      <c r="B1034" s="14"/>
      <c r="C1034" s="14"/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</row>
    <row r="1035" ht="12.75" customHeight="1">
      <c r="A1035" s="14"/>
      <c r="B1035" s="14"/>
      <c r="C1035" s="14"/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</row>
    <row r="1036" ht="12.75" customHeight="1">
      <c r="A1036" s="14"/>
      <c r="B1036" s="14"/>
      <c r="C1036" s="14"/>
      <c r="D1036" s="14"/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</row>
    <row r="1037" ht="12.75" customHeight="1">
      <c r="A1037" s="14"/>
      <c r="B1037" s="14"/>
      <c r="C1037" s="14"/>
      <c r="D1037" s="14"/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</row>
    <row r="1038" ht="12.75" customHeight="1">
      <c r="A1038" s="14"/>
      <c r="B1038" s="14"/>
      <c r="C1038" s="14"/>
      <c r="D1038" s="14"/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</row>
    <row r="1039" ht="12.75" customHeight="1">
      <c r="A1039" s="14"/>
      <c r="B1039" s="14"/>
      <c r="C1039" s="14"/>
      <c r="D1039" s="14"/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</row>
    <row r="1040" ht="12.75" customHeight="1">
      <c r="A1040" s="14"/>
      <c r="B1040" s="14"/>
      <c r="C1040" s="14"/>
      <c r="D1040" s="14"/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</row>
    <row r="1041" ht="12.75" customHeight="1">
      <c r="A1041" s="14"/>
      <c r="B1041" s="14"/>
      <c r="C1041" s="14"/>
      <c r="D1041" s="14"/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</row>
    <row r="1042" ht="12.75" customHeight="1">
      <c r="A1042" s="14"/>
      <c r="B1042" s="14"/>
      <c r="C1042" s="14"/>
      <c r="D1042" s="14"/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</row>
    <row r="1043" ht="12.75" customHeight="1">
      <c r="A1043" s="14"/>
      <c r="B1043" s="14"/>
      <c r="C1043" s="14"/>
      <c r="D1043" s="14"/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</row>
    <row r="1044" ht="12.75" customHeight="1">
      <c r="A1044" s="14"/>
      <c r="B1044" s="14"/>
      <c r="C1044" s="14"/>
      <c r="D1044" s="14"/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</row>
    <row r="1045" ht="12.75" customHeight="1">
      <c r="A1045" s="14"/>
      <c r="B1045" s="14"/>
      <c r="C1045" s="14"/>
      <c r="D1045" s="14"/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</row>
    <row r="1046" ht="12.75" customHeight="1">
      <c r="A1046" s="14"/>
      <c r="B1046" s="14"/>
      <c r="C1046" s="14"/>
      <c r="D1046" s="14"/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</row>
    <row r="1047" ht="12.75" customHeight="1">
      <c r="A1047" s="14"/>
      <c r="B1047" s="14"/>
      <c r="C1047" s="14"/>
      <c r="D1047" s="14"/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</row>
    <row r="1048" ht="12.75" customHeight="1">
      <c r="A1048" s="14"/>
      <c r="B1048" s="14"/>
      <c r="C1048" s="14"/>
      <c r="D1048" s="14"/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</row>
    <row r="1049" ht="12.75" customHeight="1">
      <c r="A1049" s="14"/>
      <c r="B1049" s="14"/>
      <c r="C1049" s="14"/>
      <c r="D1049" s="14"/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</row>
    <row r="1050" ht="12.75" customHeight="1">
      <c r="A1050" s="14"/>
      <c r="B1050" s="14"/>
      <c r="C1050" s="14"/>
      <c r="D1050" s="14"/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</row>
    <row r="1051" ht="12.75" customHeight="1">
      <c r="A1051" s="14"/>
      <c r="B1051" s="14"/>
      <c r="C1051" s="14"/>
      <c r="D1051" s="14"/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</row>
    <row r="1052" ht="12.75" customHeight="1">
      <c r="A1052" s="14"/>
      <c r="B1052" s="14"/>
      <c r="C1052" s="14"/>
      <c r="D1052" s="14"/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</row>
    <row r="1053" ht="12.75" customHeight="1">
      <c r="A1053" s="14"/>
      <c r="B1053" s="14"/>
      <c r="C1053" s="14"/>
      <c r="D1053" s="14"/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</row>
    <row r="1054" ht="12.75" customHeight="1">
      <c r="A1054" s="14"/>
      <c r="B1054" s="14"/>
      <c r="C1054" s="14"/>
      <c r="D1054" s="14"/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</row>
    <row r="1055" ht="12.75" customHeight="1">
      <c r="A1055" s="14"/>
      <c r="B1055" s="14"/>
      <c r="C1055" s="14"/>
      <c r="D1055" s="14"/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</row>
    <row r="1056" ht="12.75" customHeight="1">
      <c r="A1056" s="14"/>
      <c r="B1056" s="14"/>
      <c r="C1056" s="14"/>
      <c r="D1056" s="14"/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</row>
    <row r="1057" ht="12.75" customHeight="1">
      <c r="A1057" s="14"/>
      <c r="B1057" s="14"/>
      <c r="C1057" s="14"/>
      <c r="D1057" s="14"/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</row>
    <row r="1058" ht="12.75" customHeight="1">
      <c r="A1058" s="14"/>
      <c r="B1058" s="14"/>
      <c r="C1058" s="14"/>
      <c r="D1058" s="14"/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</row>
    <row r="1059" ht="12.75" customHeight="1">
      <c r="A1059" s="14"/>
      <c r="B1059" s="14"/>
      <c r="C1059" s="14"/>
      <c r="D1059" s="14"/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</row>
    <row r="1060" ht="12.75" customHeight="1">
      <c r="A1060" s="14"/>
      <c r="B1060" s="14"/>
      <c r="C1060" s="14"/>
      <c r="D1060" s="14"/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</row>
    <row r="1061" ht="12.75" customHeight="1">
      <c r="A1061" s="14"/>
      <c r="B1061" s="14"/>
      <c r="C1061" s="14"/>
      <c r="D1061" s="14"/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  <c r="AB1061" s="14"/>
      <c r="AC1061" s="14"/>
      <c r="AD1061" s="14"/>
      <c r="AE1061" s="14"/>
      <c r="AF1061" s="14"/>
      <c r="AG1061" s="14"/>
    </row>
    <row r="1062" ht="12.75" customHeight="1">
      <c r="A1062" s="14"/>
      <c r="B1062" s="14"/>
      <c r="C1062" s="14"/>
      <c r="D1062" s="14"/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4"/>
      <c r="AB1062" s="14"/>
      <c r="AC1062" s="14"/>
      <c r="AD1062" s="14"/>
      <c r="AE1062" s="14"/>
      <c r="AF1062" s="14"/>
      <c r="AG1062" s="14"/>
    </row>
    <row r="1063" ht="12.75" customHeight="1">
      <c r="A1063" s="14"/>
      <c r="B1063" s="14"/>
      <c r="C1063" s="14"/>
      <c r="D1063" s="14"/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  <c r="AA1063" s="14"/>
      <c r="AB1063" s="14"/>
      <c r="AC1063" s="14"/>
      <c r="AD1063" s="14"/>
      <c r="AE1063" s="14"/>
      <c r="AF1063" s="14"/>
      <c r="AG1063" s="14"/>
    </row>
    <row r="1064" ht="12.75" customHeight="1">
      <c r="A1064" s="14"/>
      <c r="B1064" s="14"/>
      <c r="C1064" s="14"/>
      <c r="D1064" s="14"/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  <c r="AA1064" s="14"/>
      <c r="AB1064" s="14"/>
      <c r="AC1064" s="14"/>
      <c r="AD1064" s="14"/>
      <c r="AE1064" s="14"/>
      <c r="AF1064" s="14"/>
      <c r="AG1064" s="14"/>
    </row>
    <row r="1065" ht="12.75" customHeight="1">
      <c r="A1065" s="14"/>
      <c r="B1065" s="14"/>
      <c r="C1065" s="14"/>
      <c r="D1065" s="14"/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4"/>
      <c r="AB1065" s="14"/>
      <c r="AC1065" s="14"/>
      <c r="AD1065" s="14"/>
      <c r="AE1065" s="14"/>
      <c r="AF1065" s="14"/>
      <c r="AG1065" s="14"/>
    </row>
    <row r="1066" ht="12.75" customHeight="1">
      <c r="A1066" s="14"/>
      <c r="B1066" s="14"/>
      <c r="C1066" s="14"/>
      <c r="D1066" s="14"/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</row>
    <row r="1067" ht="12.75" customHeight="1">
      <c r="A1067" s="14"/>
      <c r="B1067" s="14"/>
      <c r="C1067" s="14"/>
      <c r="D1067" s="14"/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</row>
    <row r="1068" ht="12.75" customHeight="1">
      <c r="A1068" s="14"/>
      <c r="B1068" s="14"/>
      <c r="C1068" s="14"/>
      <c r="D1068" s="14"/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</row>
    <row r="1069" ht="12.75" customHeight="1">
      <c r="A1069" s="14"/>
      <c r="B1069" s="14"/>
      <c r="C1069" s="14"/>
      <c r="D1069" s="14"/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  <c r="AA1069" s="14"/>
      <c r="AB1069" s="14"/>
      <c r="AC1069" s="14"/>
      <c r="AD1069" s="14"/>
      <c r="AE1069" s="14"/>
      <c r="AF1069" s="14"/>
      <c r="AG1069" s="14"/>
    </row>
    <row r="1070" ht="12.75" customHeight="1">
      <c r="A1070" s="14"/>
      <c r="B1070" s="14"/>
      <c r="C1070" s="14"/>
      <c r="D1070" s="14"/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</row>
    <row r="1071" ht="12.75" customHeight="1">
      <c r="A1071" s="14"/>
      <c r="B1071" s="14"/>
      <c r="C1071" s="14"/>
      <c r="D1071" s="14"/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14"/>
      <c r="AC1071" s="14"/>
      <c r="AD1071" s="14"/>
      <c r="AE1071" s="14"/>
      <c r="AF1071" s="14"/>
      <c r="AG1071" s="14"/>
    </row>
    <row r="1072" ht="12.75" customHeight="1">
      <c r="A1072" s="14"/>
      <c r="B1072" s="14"/>
      <c r="C1072" s="14"/>
      <c r="D1072" s="14"/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</row>
    <row r="1073" ht="12.75" customHeight="1">
      <c r="A1073" s="14"/>
      <c r="B1073" s="14"/>
      <c r="C1073" s="14"/>
      <c r="D1073" s="14"/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  <c r="AA1073" s="14"/>
      <c r="AB1073" s="14"/>
      <c r="AC1073" s="14"/>
      <c r="AD1073" s="14"/>
      <c r="AE1073" s="14"/>
      <c r="AF1073" s="14"/>
      <c r="AG1073" s="14"/>
    </row>
    <row r="1074" ht="12.75" customHeight="1">
      <c r="A1074" s="14"/>
      <c r="B1074" s="14"/>
      <c r="C1074" s="14"/>
      <c r="D1074" s="14"/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</row>
    <row r="1075" ht="12.75" customHeight="1">
      <c r="A1075" s="14"/>
      <c r="B1075" s="14"/>
      <c r="C1075" s="14"/>
      <c r="D1075" s="14"/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</row>
  </sheetData>
  <mergeCells count="28">
    <mergeCell ref="B1:D3"/>
    <mergeCell ref="B7:C7"/>
    <mergeCell ref="A8:C9"/>
    <mergeCell ref="D8:D9"/>
    <mergeCell ref="A10:C10"/>
    <mergeCell ref="A11:C11"/>
    <mergeCell ref="E13:L13"/>
    <mergeCell ref="A12:C14"/>
    <mergeCell ref="B16:C20"/>
    <mergeCell ref="D18:D19"/>
    <mergeCell ref="A25:C26"/>
    <mergeCell ref="D25:D26"/>
    <mergeCell ref="A28:C31"/>
    <mergeCell ref="D32:D33"/>
    <mergeCell ref="D88:D89"/>
    <mergeCell ref="D95:D96"/>
    <mergeCell ref="D102:D103"/>
    <mergeCell ref="D109:D110"/>
    <mergeCell ref="D116:D117"/>
    <mergeCell ref="D123:D124"/>
    <mergeCell ref="D130:D131"/>
    <mergeCell ref="D39:D40"/>
    <mergeCell ref="D46:D47"/>
    <mergeCell ref="D53:D54"/>
    <mergeCell ref="D60:D61"/>
    <mergeCell ref="D67:D68"/>
    <mergeCell ref="D74:D75"/>
    <mergeCell ref="D81:D82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9" width="5.5"/>
    <col customWidth="1" min="10" max="17" width="0.38"/>
    <col customWidth="1" min="20" max="20" width="13.25"/>
    <col customWidth="1" min="21" max="28" width="5.5"/>
    <col customWidth="1" min="29" max="36" width="0.38"/>
  </cols>
  <sheetData>
    <row r="1" ht="14.25" customHeight="1">
      <c r="A1" s="70" t="s">
        <v>43</v>
      </c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</row>
    <row r="2" ht="14.25" customHeight="1"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ht="14.25" customHeight="1"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</row>
    <row r="4" ht="14.25" customHeight="1">
      <c r="A4" s="14"/>
      <c r="B4" s="14"/>
      <c r="C4" s="14"/>
      <c r="D4" s="14"/>
      <c r="E4" s="47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</row>
    <row r="5" ht="14.25" customHeight="1">
      <c r="A5" s="47" t="s">
        <v>44</v>
      </c>
      <c r="C5" s="14" t="s">
        <v>0</v>
      </c>
      <c r="E5" s="47" t="b">
        <v>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</row>
    <row r="6" ht="14.25" customHeight="1">
      <c r="A6" s="14"/>
      <c r="B6" s="14"/>
      <c r="C6" s="14"/>
      <c r="D6" s="53" t="s">
        <v>1</v>
      </c>
      <c r="E6" s="57" t="s">
        <v>2</v>
      </c>
      <c r="F6" s="58" t="s">
        <v>3</v>
      </c>
      <c r="G6" s="59" t="s">
        <v>4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 t="s">
        <v>45</v>
      </c>
      <c r="Z6" s="14"/>
      <c r="AA6" s="71">
        <v>12.0</v>
      </c>
      <c r="AB6" s="14"/>
      <c r="AC6" s="14">
        <v>1.78</v>
      </c>
      <c r="AD6" s="14">
        <v>2.03</v>
      </c>
      <c r="AE6" s="14">
        <v>0.39</v>
      </c>
      <c r="AF6" s="14">
        <v>0.94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</row>
    <row r="7" ht="14.25" customHeight="1">
      <c r="A7" s="14"/>
      <c r="B7" s="14"/>
      <c r="C7" s="14" t="s">
        <v>6</v>
      </c>
      <c r="D7" s="14">
        <f>IF(E5= FALSE, R16+R24+R31+R38+R45+R52+R59+R66+R73+AK16+AK23+AK30+AK37+AK44+AK51+AK58+AK65+AK72, (R16+R24+R31+R38+R45+R52+R59+R66+R73+AK16+AK23+AK30+AK37+AK44+AK51+AK58+AK65+AK72)/2)</f>
        <v>3.16</v>
      </c>
      <c r="E7" s="14">
        <f>R17+R18+R25+R26+R32+R33+R39+R40+R46+R47+R53+R54+R60+R61+R67+R68+R74+R75+AK17+AK18+AK24+AK25+AK31+AK32+AK38+AK39+AK45+AK46+AK52+AK53+AK59+AK60+AK66+AK67+AK73+AK74</f>
        <v>-0.74</v>
      </c>
      <c r="F7" s="14">
        <f>R19+R27++R34+R41+R48+R55+R62+R69+R76+AK19+AK26+AK33+AK40+AK47+AK54+AK61+AK68+AK75</f>
        <v>-1.24</v>
      </c>
      <c r="G7" s="14">
        <f>R20+R21+R28+R29+R35+R36++R42+R43+R49+R50+R56+R57+R63+R64+R70+R71+R77+R78+AK20+AK21+AK27+AK28+AK34+AK35+AK41+AK42+AK48+AK49+AK55+AK56+AK62+AK63+AK69+AK70+AK76+AK77</f>
        <v>-2.8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 t="s">
        <v>9</v>
      </c>
      <c r="Z7" s="14"/>
      <c r="AA7" s="72">
        <v>6.0</v>
      </c>
      <c r="AB7" s="14"/>
      <c r="AC7" s="14">
        <v>3.31</v>
      </c>
      <c r="AD7" s="14">
        <v>4.29</v>
      </c>
      <c r="AE7" s="14">
        <v>0.97</v>
      </c>
      <c r="AF7" s="14">
        <v>1.42</v>
      </c>
      <c r="AG7" s="14"/>
      <c r="AH7" s="14"/>
      <c r="AI7" s="14"/>
      <c r="AJ7" s="14"/>
      <c r="AK7" s="14"/>
      <c r="AL7" s="14"/>
      <c r="AM7" s="14"/>
      <c r="AN7" s="14"/>
      <c r="AO7" s="14"/>
      <c r="AP7" s="14"/>
    </row>
    <row r="8" ht="14.25" customHeight="1">
      <c r="A8" s="14"/>
      <c r="B8" s="14"/>
      <c r="C8" s="14" t="s">
        <v>8</v>
      </c>
      <c r="D8" s="67">
        <f t="shared" ref="D8:G8" si="1">IF($E$5=FALSE, D$7+AC6, (D$7+AC6)/2)</f>
        <v>4.94</v>
      </c>
      <c r="E8" s="67">
        <f t="shared" si="1"/>
        <v>1.29</v>
      </c>
      <c r="F8" s="67">
        <f t="shared" si="1"/>
        <v>-0.85</v>
      </c>
      <c r="G8" s="67">
        <f t="shared" si="1"/>
        <v>-1.86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>
        <v>3.61</v>
      </c>
      <c r="AD8" s="14">
        <v>6.11</v>
      </c>
      <c r="AE8" s="14">
        <v>1.33</v>
      </c>
      <c r="AF8" s="14">
        <v>2.77</v>
      </c>
      <c r="AG8" s="14"/>
      <c r="AH8" s="14"/>
      <c r="AI8" s="14"/>
      <c r="AJ8" s="14"/>
      <c r="AK8" s="14"/>
      <c r="AL8" s="14"/>
      <c r="AM8" s="14"/>
      <c r="AN8" s="14"/>
      <c r="AO8" s="14"/>
      <c r="AP8" s="14"/>
    </row>
    <row r="9" ht="14.25" customHeight="1">
      <c r="A9" s="14"/>
      <c r="B9" s="14"/>
      <c r="C9" s="14">
        <v>5.0</v>
      </c>
      <c r="D9" s="67">
        <f t="shared" ref="D9:G9" si="2">IF($E$5=FALSE, D$7+AC7, (D$7+AC7)/2)</f>
        <v>6.47</v>
      </c>
      <c r="E9" s="67">
        <f t="shared" si="2"/>
        <v>3.55</v>
      </c>
      <c r="F9" s="67">
        <f t="shared" si="2"/>
        <v>-0.27</v>
      </c>
      <c r="G9" s="67">
        <f t="shared" si="2"/>
        <v>-1.38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47" t="s">
        <v>46</v>
      </c>
      <c r="AA9" s="14"/>
      <c r="AB9" s="14"/>
      <c r="AC9" s="14">
        <v>4.86</v>
      </c>
      <c r="AD9" s="14">
        <v>8.54</v>
      </c>
      <c r="AE9" s="14">
        <v>4.46</v>
      </c>
      <c r="AF9" s="14">
        <v>4.46</v>
      </c>
      <c r="AG9" s="14"/>
      <c r="AH9" s="14"/>
      <c r="AI9" s="14"/>
      <c r="AJ9" s="14"/>
      <c r="AK9" s="14"/>
      <c r="AL9" s="14"/>
      <c r="AM9" s="14"/>
      <c r="AN9" s="14"/>
      <c r="AO9" s="14"/>
      <c r="AP9" s="14"/>
    </row>
    <row r="10" ht="14.25" customHeight="1">
      <c r="A10" s="14"/>
      <c r="B10" s="14"/>
      <c r="C10" s="14">
        <v>10.0</v>
      </c>
      <c r="D10" s="67">
        <f t="shared" ref="D10:G10" si="3">IF($E$5=FALSE, D$7+AC8, (D$7+AC8)/2)</f>
        <v>6.77</v>
      </c>
      <c r="E10" s="67">
        <f t="shared" si="3"/>
        <v>5.37</v>
      </c>
      <c r="F10" s="67">
        <f t="shared" si="3"/>
        <v>0.09</v>
      </c>
      <c r="G10" s="67">
        <f t="shared" si="3"/>
        <v>-0.03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>
        <v>5.75</v>
      </c>
      <c r="AD10" s="14">
        <v>11.26</v>
      </c>
      <c r="AE10" s="14">
        <v>4.48</v>
      </c>
      <c r="AF10" s="14">
        <v>4.48</v>
      </c>
      <c r="AG10" s="14"/>
      <c r="AH10" s="14"/>
      <c r="AI10" s="14"/>
      <c r="AJ10" s="14"/>
      <c r="AK10" s="14"/>
      <c r="AL10" s="14"/>
      <c r="AM10" s="14"/>
      <c r="AN10" s="14"/>
      <c r="AO10" s="14"/>
      <c r="AP10" s="14"/>
    </row>
    <row r="11" ht="14.25" customHeight="1">
      <c r="A11" s="14"/>
      <c r="B11" s="14"/>
      <c r="C11" s="14">
        <v>15.0</v>
      </c>
      <c r="D11" s="67">
        <f t="shared" ref="D11:G11" si="4">IF($E$5=FALSE, D$7+AC9, (D$7+AC9)/2)</f>
        <v>8.02</v>
      </c>
      <c r="E11" s="67">
        <f t="shared" si="4"/>
        <v>7.8</v>
      </c>
      <c r="F11" s="67">
        <f t="shared" si="4"/>
        <v>3.22</v>
      </c>
      <c r="G11" s="67">
        <f t="shared" si="4"/>
        <v>1.66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>
        <v>7.53</v>
      </c>
      <c r="AD11" s="14">
        <v>14.23</v>
      </c>
      <c r="AE11" s="14">
        <v>4.71</v>
      </c>
      <c r="AF11" s="14">
        <v>4.71</v>
      </c>
      <c r="AG11" s="14"/>
      <c r="AH11" s="14"/>
      <c r="AI11" s="14"/>
      <c r="AJ11" s="14"/>
      <c r="AK11" s="14"/>
      <c r="AL11" s="14"/>
      <c r="AM11" s="14"/>
      <c r="AN11" s="14"/>
      <c r="AO11" s="14"/>
      <c r="AP11" s="14"/>
    </row>
    <row r="12" ht="14.25" customHeight="1">
      <c r="A12" s="14"/>
      <c r="B12" s="14"/>
      <c r="C12" s="14">
        <v>20.0</v>
      </c>
      <c r="D12" s="67">
        <f t="shared" ref="D12:G12" si="5">IF($E$5=FALSE, D$7+AC10, (D$7+AC10)/2)</f>
        <v>8.91</v>
      </c>
      <c r="E12" s="67">
        <f t="shared" si="5"/>
        <v>10.52</v>
      </c>
      <c r="F12" s="67">
        <f t="shared" si="5"/>
        <v>3.24</v>
      </c>
      <c r="G12" s="67">
        <f t="shared" si="5"/>
        <v>1.68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</row>
    <row r="13" ht="14.25" customHeight="1">
      <c r="A13" s="14"/>
      <c r="B13" s="14"/>
      <c r="C13" s="14">
        <v>25.0</v>
      </c>
      <c r="D13" s="67">
        <f t="shared" ref="D13:G13" si="6">IF($E$5=FALSE, D$7+AC11, (D$7+AC11)/2)</f>
        <v>10.69</v>
      </c>
      <c r="E13" s="67">
        <f t="shared" si="6"/>
        <v>13.49</v>
      </c>
      <c r="F13" s="67">
        <f t="shared" si="6"/>
        <v>3.47</v>
      </c>
      <c r="G13" s="67">
        <f t="shared" si="6"/>
        <v>1.91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</row>
    <row r="14" ht="14.2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 t="s">
        <v>11</v>
      </c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 t="s">
        <v>11</v>
      </c>
      <c r="AL14" s="14"/>
      <c r="AM14" s="14"/>
      <c r="AN14" s="14"/>
      <c r="AO14" s="14"/>
      <c r="AP14" s="14"/>
    </row>
    <row r="15" ht="14.25" customHeight="1">
      <c r="A15" s="14"/>
      <c r="B15" s="14"/>
      <c r="C15" s="14" t="s">
        <v>12</v>
      </c>
      <c r="D15" s="14" t="s">
        <v>13</v>
      </c>
      <c r="E15" s="14" t="s">
        <v>14</v>
      </c>
      <c r="F15" s="14" t="s">
        <v>15</v>
      </c>
      <c r="G15" s="14" t="s">
        <v>16</v>
      </c>
      <c r="H15" s="14" t="s">
        <v>17</v>
      </c>
      <c r="I15" s="14" t="s">
        <v>18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 t="s">
        <v>12</v>
      </c>
      <c r="W15" s="14" t="s">
        <v>13</v>
      </c>
      <c r="X15" s="14" t="s">
        <v>14</v>
      </c>
      <c r="Y15" s="14" t="s">
        <v>15</v>
      </c>
      <c r="Z15" s="14" t="s">
        <v>16</v>
      </c>
      <c r="AA15" s="14" t="s">
        <v>17</v>
      </c>
      <c r="AB15" s="14" t="s">
        <v>18</v>
      </c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 t="s">
        <v>47</v>
      </c>
      <c r="AN15" s="14"/>
      <c r="AO15" s="14"/>
      <c r="AP15" s="14"/>
    </row>
    <row r="16" ht="14.25" customHeight="1">
      <c r="A16" s="53" t="s">
        <v>19</v>
      </c>
      <c r="B16" s="73">
        <v>1.0</v>
      </c>
      <c r="C16" s="74">
        <v>352.0</v>
      </c>
      <c r="D16" s="51"/>
      <c r="E16" s="51"/>
      <c r="F16" s="51"/>
      <c r="G16" s="51"/>
      <c r="H16" s="51"/>
      <c r="I16" s="53"/>
      <c r="J16" s="14">
        <f t="shared" ref="J16:N16" si="7">IF(C16="","", LOOKUP(C16, $D$164:$D$227, E$164:E$227))</f>
        <v>3.86</v>
      </c>
      <c r="K16" s="14" t="str">
        <f t="shared" si="7"/>
        <v/>
      </c>
      <c r="L16" s="14" t="str">
        <f t="shared" si="7"/>
        <v/>
      </c>
      <c r="M16" s="14" t="str">
        <f t="shared" si="7"/>
        <v/>
      </c>
      <c r="N16" s="14" t="str">
        <f t="shared" si="7"/>
        <v/>
      </c>
      <c r="O16" s="14" t="str">
        <f t="shared" ref="O16:O17" si="10">IF(H16="","", LOOKUP(H16, I$182:I$227, J$182:J$227))</f>
        <v/>
      </c>
      <c r="P16" s="14">
        <f t="shared" ref="P16:P22" si="11">IF(SUM(J16:O16)=0, "", SUM(J16:O16))</f>
        <v>3.86</v>
      </c>
      <c r="Q16" s="14"/>
      <c r="R16" s="14">
        <f>IF(P16="", "", IF(P17="", IF(P18="",P16-I16-1-P19, P16-I16-1-P18), P16-I16-1-P17))</f>
        <v>-0.05</v>
      </c>
      <c r="S16" s="14"/>
      <c r="T16" s="53" t="s">
        <v>19</v>
      </c>
      <c r="U16" s="73">
        <v>10.0</v>
      </c>
      <c r="V16" s="74">
        <v>413.0</v>
      </c>
      <c r="W16" s="51"/>
      <c r="X16" s="51"/>
      <c r="Y16" s="51"/>
      <c r="Z16" s="51"/>
      <c r="AA16" s="51"/>
      <c r="AB16" s="53"/>
      <c r="AC16" s="14">
        <f t="shared" ref="AC16:AG16" si="8">IF(V16="","", LOOKUP(V16, $D$164:$D$227, E$164:E$227))</f>
        <v>3.99</v>
      </c>
      <c r="AD16" s="14" t="str">
        <f t="shared" si="8"/>
        <v/>
      </c>
      <c r="AE16" s="14" t="str">
        <f t="shared" si="8"/>
        <v/>
      </c>
      <c r="AF16" s="14" t="str">
        <f t="shared" si="8"/>
        <v/>
      </c>
      <c r="AG16" s="14" t="str">
        <f t="shared" si="8"/>
        <v/>
      </c>
      <c r="AH16" s="14" t="str">
        <f t="shared" ref="AH16:AH21" si="13">if(AA16=1, 1, IF(AA16="", "", If(AA16&gt;$K$216, $L$216, if(AA16&gt;$K$215, $L$215, if(AA16&gt;$K$214, $L$214, if(AA16&gt;$K$213, $L$213, if(AA16&gt;$K$212, $L$212, if(AA16&gt;$K$210, $L$210, if(AA16&gt;$K$208, $L$208, if(AA16&gt;$K$206, $L$206, if(AA16&gt;$K$204, $L$204, if(AA16&gt;$K$202, $L$202, if(AA16&gt;$K$198, $L$198, if(AA16&gt;$K$194, $L$194, if(AA16&gt;$K$190, $L$190, if(AA16&gt;$K$186, $L$186, if(AA16&gt;$K$182, $L$182, $L$182)))))))))))))))))</f>
        <v/>
      </c>
      <c r="AI16" s="14">
        <f t="shared" ref="AI16:AI21" si="14">IF(SUM(AC16:AH16)=0, "", SUM(AC16:AH16))</f>
        <v>3.99</v>
      </c>
      <c r="AJ16" s="14"/>
      <c r="AK16" s="14">
        <f>IF(AI16="", "", IF(AI17="", IF(AI18="",AI16-AB16-1-AI19, AI16-AB16-1-AI18), AI16-AB16-1-AI17))</f>
        <v>0.39</v>
      </c>
      <c r="AL16" s="14"/>
      <c r="AM16" s="14" t="s">
        <v>48</v>
      </c>
      <c r="AN16" s="14"/>
      <c r="AO16" s="14"/>
      <c r="AP16" s="14"/>
    </row>
    <row r="17" ht="14.25" customHeight="1">
      <c r="A17" s="57" t="s">
        <v>33</v>
      </c>
      <c r="B17" s="51"/>
      <c r="C17" s="51"/>
      <c r="D17" s="57"/>
      <c r="E17" s="57"/>
      <c r="F17" s="57"/>
      <c r="G17" s="57"/>
      <c r="H17" s="51"/>
      <c r="I17" s="57"/>
      <c r="J17" s="14" t="str">
        <f t="shared" ref="J17:N17" si="9">IF(C17="","", LOOKUP(C17, $D$164:$D$227, E$164:E$227))</f>
        <v/>
      </c>
      <c r="K17" s="14" t="str">
        <f t="shared" si="9"/>
        <v/>
      </c>
      <c r="L17" s="14" t="str">
        <f t="shared" si="9"/>
        <v/>
      </c>
      <c r="M17" s="14" t="str">
        <f t="shared" si="9"/>
        <v/>
      </c>
      <c r="N17" s="14" t="str">
        <f t="shared" si="9"/>
        <v/>
      </c>
      <c r="O17" s="14" t="str">
        <f t="shared" si="10"/>
        <v/>
      </c>
      <c r="P17" s="14" t="str">
        <f t="shared" si="11"/>
        <v/>
      </c>
      <c r="Q17" s="14" t="str">
        <f>Q19:R19</f>
        <v/>
      </c>
      <c r="R17" s="14" t="str">
        <f t="shared" ref="R17:R19" si="16">IF(P17="", "", IF(P18="", P17-I17-1-P19, P17-I17-1-P18))</f>
        <v/>
      </c>
      <c r="S17" s="14"/>
      <c r="T17" s="57" t="s">
        <v>33</v>
      </c>
      <c r="U17" s="51"/>
      <c r="V17" s="51"/>
      <c r="W17" s="57"/>
      <c r="X17" s="57"/>
      <c r="Y17" s="57"/>
      <c r="Z17" s="57"/>
      <c r="AA17" s="51"/>
      <c r="AB17" s="57"/>
      <c r="AC17" s="14" t="str">
        <f t="shared" ref="AC17:AG17" si="12">IF(V17="","", LOOKUP(V17, $D$164:$D$227, E$164:E$227))</f>
        <v/>
      </c>
      <c r="AD17" s="14" t="str">
        <f t="shared" si="12"/>
        <v/>
      </c>
      <c r="AE17" s="14" t="str">
        <f t="shared" si="12"/>
        <v/>
      </c>
      <c r="AF17" s="14" t="str">
        <f t="shared" si="12"/>
        <v/>
      </c>
      <c r="AG17" s="14" t="str">
        <f t="shared" si="12"/>
        <v/>
      </c>
      <c r="AH17" s="14" t="str">
        <f t="shared" si="13"/>
        <v/>
      </c>
      <c r="AI17" s="14" t="str">
        <f t="shared" si="14"/>
        <v/>
      </c>
      <c r="AJ17" s="14"/>
      <c r="AK17" s="14" t="str">
        <f t="shared" ref="AK17:AK19" si="18">IF(AI17="", "", IF(AI18="", AI17-AB17-1-AI19, AI17-AB17-1-AI18))</f>
        <v/>
      </c>
      <c r="AL17" s="14"/>
      <c r="AM17" s="14"/>
      <c r="AN17" s="14"/>
      <c r="AO17" s="14"/>
      <c r="AP17" s="14"/>
    </row>
    <row r="18" ht="14.25" customHeight="1">
      <c r="B18" s="51"/>
      <c r="C18" s="57"/>
      <c r="D18" s="57">
        <v>141.0</v>
      </c>
      <c r="E18" s="57"/>
      <c r="F18" s="57"/>
      <c r="G18" s="57"/>
      <c r="H18" s="51"/>
      <c r="I18" s="57"/>
      <c r="J18" s="14" t="str">
        <f t="shared" ref="J18:N18" si="15">IF(C18="","", LOOKUP(C18, $D$164:$D$227, E$164:E$227))</f>
        <v/>
      </c>
      <c r="K18" s="14">
        <f t="shared" si="15"/>
        <v>2.91</v>
      </c>
      <c r="L18" s="14" t="str">
        <f t="shared" si="15"/>
        <v/>
      </c>
      <c r="M18" s="14" t="str">
        <f t="shared" si="15"/>
        <v/>
      </c>
      <c r="N18" s="14" t="str">
        <f t="shared" si="15"/>
        <v/>
      </c>
      <c r="O18" s="14"/>
      <c r="P18" s="14">
        <f t="shared" si="11"/>
        <v>2.91</v>
      </c>
      <c r="Q18" s="14"/>
      <c r="R18" s="75">
        <f t="shared" si="16"/>
        <v>-0.63</v>
      </c>
      <c r="S18" s="14"/>
      <c r="U18" s="51"/>
      <c r="V18" s="57"/>
      <c r="W18" s="57"/>
      <c r="X18" s="57"/>
      <c r="Y18" s="57"/>
      <c r="Z18" s="57"/>
      <c r="AA18" s="51"/>
      <c r="AB18" s="57"/>
      <c r="AC18" s="14" t="str">
        <f t="shared" ref="AC18:AG18" si="17">IF(V18="","", LOOKUP(V18, $D$164:$D$227, E$164:E$227))</f>
        <v/>
      </c>
      <c r="AD18" s="14" t="str">
        <f t="shared" si="17"/>
        <v/>
      </c>
      <c r="AE18" s="14" t="str">
        <f t="shared" si="17"/>
        <v/>
      </c>
      <c r="AF18" s="14" t="str">
        <f t="shared" si="17"/>
        <v/>
      </c>
      <c r="AG18" s="14" t="str">
        <f t="shared" si="17"/>
        <v/>
      </c>
      <c r="AH18" s="14" t="str">
        <f t="shared" si="13"/>
        <v/>
      </c>
      <c r="AI18" s="14" t="str">
        <f t="shared" si="14"/>
        <v/>
      </c>
      <c r="AJ18" s="14"/>
      <c r="AK18" s="14" t="str">
        <f t="shared" si="18"/>
        <v/>
      </c>
      <c r="AL18" s="14"/>
      <c r="AM18" s="14"/>
      <c r="AN18" s="14"/>
      <c r="AO18" s="14"/>
      <c r="AP18" s="14"/>
    </row>
    <row r="19" ht="14.25" customHeight="1">
      <c r="A19" s="58" t="s">
        <v>35</v>
      </c>
      <c r="B19" s="51"/>
      <c r="C19" s="51"/>
      <c r="D19" s="58"/>
      <c r="E19" s="58">
        <v>15.0</v>
      </c>
      <c r="F19" s="58"/>
      <c r="G19" s="51"/>
      <c r="H19" s="51"/>
      <c r="I19" s="58">
        <v>1.0</v>
      </c>
      <c r="J19" s="14" t="str">
        <f t="shared" ref="J19:N19" si="19">IF(C19="","", LOOKUP(C19, $D$164:$D$227, E$164:E$227))</f>
        <v/>
      </c>
      <c r="K19" s="14" t="str">
        <f t="shared" si="19"/>
        <v/>
      </c>
      <c r="L19" s="14">
        <f t="shared" si="19"/>
        <v>2.54</v>
      </c>
      <c r="M19" s="14" t="str">
        <f t="shared" si="19"/>
        <v/>
      </c>
      <c r="N19" s="14" t="str">
        <f t="shared" si="19"/>
        <v/>
      </c>
      <c r="O19" s="14" t="str">
        <f>if(H19="", "", If(H19&gt;$K$216, $L$216, if(H19&gt;$K$215, $L$215, if(H19&gt;$K$214, $L$214, if(H19&gt;$K$213, $L$213, if(H19&gt;$K$212, $L$212, if(H19&gt;$K$210, $L$210, if(H19&gt;$K$208, $L$208, if(H19&gt;$K$206, $L$206, if(H19&gt;$K$204, $L$204, if(H19&gt;$K$202, $L$202, if(H19&gt;$K$198, $L$198, if(H19&gt;$K$194, $L$194, if(H19&gt;$K$190, $L$190, if(H19&gt;$K$186, $L$186, if(H19&gt;$K$182, $L$182, $L$182))))))))))))))))</f>
        <v/>
      </c>
      <c r="P19" s="14">
        <f t="shared" si="11"/>
        <v>2.54</v>
      </c>
      <c r="Q19" s="14"/>
      <c r="R19" s="75">
        <f t="shared" si="16"/>
        <v>-1.24</v>
      </c>
      <c r="S19" s="14"/>
      <c r="T19" s="58" t="s">
        <v>35</v>
      </c>
      <c r="U19" s="51"/>
      <c r="V19" s="51"/>
      <c r="W19" s="58">
        <v>43.0</v>
      </c>
      <c r="X19" s="58"/>
      <c r="Y19" s="58"/>
      <c r="Z19" s="51"/>
      <c r="AA19" s="51"/>
      <c r="AB19" s="58"/>
      <c r="AC19" s="14" t="str">
        <f t="shared" ref="AC19:AG19" si="20">IF(V19="","", LOOKUP(V19, $D$164:$D$227, E$164:E$227))</f>
        <v/>
      </c>
      <c r="AD19" s="67">
        <f t="shared" si="20"/>
        <v>2.6</v>
      </c>
      <c r="AE19" s="14" t="str">
        <f t="shared" si="20"/>
        <v/>
      </c>
      <c r="AF19" s="14" t="str">
        <f t="shared" si="20"/>
        <v/>
      </c>
      <c r="AG19" s="14" t="str">
        <f t="shared" si="20"/>
        <v/>
      </c>
      <c r="AH19" s="14" t="str">
        <f t="shared" si="13"/>
        <v/>
      </c>
      <c r="AI19" s="14">
        <f t="shared" si="14"/>
        <v>2.6</v>
      </c>
      <c r="AJ19" s="14"/>
      <c r="AK19" s="75">
        <f t="shared" si="18"/>
        <v>-0.27</v>
      </c>
      <c r="AL19" s="14"/>
      <c r="AM19" s="14" t="s">
        <v>2</v>
      </c>
      <c r="AN19" s="14"/>
      <c r="AO19" s="14"/>
      <c r="AP19" s="14"/>
    </row>
    <row r="20" ht="14.25" customHeight="1">
      <c r="A20" s="59" t="s">
        <v>22</v>
      </c>
      <c r="B20" s="51"/>
      <c r="C20" s="51"/>
      <c r="D20" s="51"/>
      <c r="E20" s="51"/>
      <c r="F20" s="51"/>
      <c r="G20" s="51"/>
      <c r="H20" s="59">
        <v>18.0</v>
      </c>
      <c r="I20" s="60"/>
      <c r="J20" s="14" t="str">
        <f t="shared" ref="J20:N20" si="21">IF(C20="","", LOOKUP(C20, $D$164:$D$227, E$164:E$227))</f>
        <v/>
      </c>
      <c r="K20" s="14" t="str">
        <f t="shared" si="21"/>
        <v/>
      </c>
      <c r="L20" s="14" t="str">
        <f t="shared" si="21"/>
        <v/>
      </c>
      <c r="M20" s="14" t="str">
        <f t="shared" si="21"/>
        <v/>
      </c>
      <c r="N20" s="14" t="str">
        <f t="shared" si="21"/>
        <v/>
      </c>
      <c r="O20" s="14">
        <f t="shared" ref="O20:O22" si="24">if(H20=1, 1, IF(H20="", "", If(H20&gt;$K$216, $L$216, if(H20&gt;$K$215, $L$215, if(H20&gt;$K$214, $L$214, if(H20&gt;$K$213, $L$213, if(H20&gt;$K$212, $L$212, if(H20&gt;$K$210, $L$210, if(H20&gt;$K$208, $L$208, if(H20&gt;$K$206, $L$206, if(H20&gt;$K$204, $L$204, if(H20&gt;$K$202, $L$202, if(H20&gt;$K$198, $L$198, if(H20&gt;$K$194, $L$194, if(H20&gt;$K$190, $L$190, if(H20&gt;$K$186, $L$186, if(H20&gt;$K$182, $L$182, $L$182)))))))))))))))))</f>
        <v>1.78</v>
      </c>
      <c r="P20" s="14">
        <f t="shared" si="11"/>
        <v>1.78</v>
      </c>
      <c r="Q20" s="14"/>
      <c r="R20" s="14">
        <f t="shared" ref="R20:R21" si="25">IF(P20="", "", P20-I20-1-P21)</f>
        <v>-0.22</v>
      </c>
      <c r="S20" s="14"/>
      <c r="T20" s="59" t="s">
        <v>22</v>
      </c>
      <c r="U20" s="51"/>
      <c r="V20" s="51"/>
      <c r="W20" s="51"/>
      <c r="X20" s="51"/>
      <c r="Y20" s="51"/>
      <c r="Z20" s="51"/>
      <c r="AA20" s="59">
        <v>24.0</v>
      </c>
      <c r="AB20" s="60"/>
      <c r="AC20" s="14" t="str">
        <f t="shared" ref="AC20:AG20" si="22">IF(V20="","", LOOKUP(V20, $D$164:$D$227, E$164:E$227))</f>
        <v/>
      </c>
      <c r="AD20" s="14" t="str">
        <f t="shared" si="22"/>
        <v/>
      </c>
      <c r="AE20" s="14" t="str">
        <f t="shared" si="22"/>
        <v/>
      </c>
      <c r="AF20" s="14" t="str">
        <f t="shared" si="22"/>
        <v/>
      </c>
      <c r="AG20" s="14" t="str">
        <f t="shared" si="22"/>
        <v/>
      </c>
      <c r="AH20" s="14">
        <f t="shared" si="13"/>
        <v>1.87</v>
      </c>
      <c r="AI20" s="14">
        <f t="shared" si="14"/>
        <v>1.87</v>
      </c>
      <c r="AJ20" s="14"/>
      <c r="AK20" s="14">
        <f t="shared" ref="AK20:AK21" si="27">IF(AI20="", "", AI20-AB20-1-AI21)</f>
        <v>-0.17</v>
      </c>
      <c r="AL20" s="14"/>
      <c r="AM20" s="76" t="s">
        <v>49</v>
      </c>
      <c r="AN20" s="14"/>
      <c r="AO20" s="14"/>
      <c r="AP20" s="14"/>
    </row>
    <row r="21" ht="14.25" customHeight="1">
      <c r="A21" s="14"/>
      <c r="B21" s="51"/>
      <c r="C21" s="51"/>
      <c r="D21" s="51"/>
      <c r="E21" s="51"/>
      <c r="F21" s="51"/>
      <c r="G21" s="51"/>
      <c r="H21" s="60">
        <v>1.0</v>
      </c>
      <c r="I21" s="60"/>
      <c r="J21" s="14" t="str">
        <f t="shared" ref="J21:N21" si="23">IF(C21="","", LOOKUP(C21, $D$164:$D$227, E$164:E$227))</f>
        <v/>
      </c>
      <c r="K21" s="14" t="str">
        <f t="shared" si="23"/>
        <v/>
      </c>
      <c r="L21" s="14" t="str">
        <f t="shared" si="23"/>
        <v/>
      </c>
      <c r="M21" s="14" t="str">
        <f t="shared" si="23"/>
        <v/>
      </c>
      <c r="N21" s="14" t="str">
        <f t="shared" si="23"/>
        <v/>
      </c>
      <c r="O21" s="14">
        <f t="shared" si="24"/>
        <v>1</v>
      </c>
      <c r="P21" s="14">
        <f t="shared" si="11"/>
        <v>1</v>
      </c>
      <c r="Q21" s="14"/>
      <c r="R21" s="14">
        <f t="shared" si="25"/>
        <v>0</v>
      </c>
      <c r="S21" s="14"/>
      <c r="T21" s="14"/>
      <c r="U21" s="51"/>
      <c r="V21" s="51"/>
      <c r="W21" s="51"/>
      <c r="X21" s="51"/>
      <c r="Y21" s="51"/>
      <c r="Z21" s="51"/>
      <c r="AA21" s="60">
        <v>2.0</v>
      </c>
      <c r="AB21" s="60"/>
      <c r="AC21" s="14" t="str">
        <f t="shared" ref="AC21:AG21" si="26">IF(V21="","", LOOKUP(V21, $D$164:$D$227, E$164:E$227))</f>
        <v/>
      </c>
      <c r="AD21" s="14" t="str">
        <f t="shared" si="26"/>
        <v/>
      </c>
      <c r="AE21" s="14" t="str">
        <f t="shared" si="26"/>
        <v/>
      </c>
      <c r="AF21" s="14" t="str">
        <f t="shared" si="26"/>
        <v/>
      </c>
      <c r="AG21" s="14" t="str">
        <f t="shared" si="26"/>
        <v/>
      </c>
      <c r="AH21" s="14">
        <f t="shared" si="13"/>
        <v>1.04</v>
      </c>
      <c r="AI21" s="14">
        <f t="shared" si="14"/>
        <v>1.04</v>
      </c>
      <c r="AJ21" s="14"/>
      <c r="AK21" s="14">
        <f t="shared" si="27"/>
        <v>0.04</v>
      </c>
      <c r="AL21" s="14"/>
      <c r="AM21" s="76" t="s">
        <v>50</v>
      </c>
      <c r="AN21" s="14"/>
      <c r="AO21" s="14"/>
      <c r="AP21" s="14"/>
    </row>
    <row r="22" ht="14.25" customHeight="1">
      <c r="A22" s="14"/>
      <c r="B22" s="14"/>
      <c r="J22" s="14" t="str">
        <f t="shared" ref="J22:N22" si="28">IF(C22="","", LOOKUP(C22, $D$164:$D$227, E$164:E$227))</f>
        <v/>
      </c>
      <c r="K22" s="14" t="str">
        <f t="shared" si="28"/>
        <v/>
      </c>
      <c r="L22" s="14" t="str">
        <f t="shared" si="28"/>
        <v/>
      </c>
      <c r="M22" s="14" t="str">
        <f t="shared" si="28"/>
        <v/>
      </c>
      <c r="N22" s="14" t="str">
        <f t="shared" si="28"/>
        <v/>
      </c>
      <c r="O22" s="14" t="str">
        <f t="shared" si="24"/>
        <v/>
      </c>
      <c r="P22" s="14" t="str">
        <f t="shared" si="11"/>
        <v/>
      </c>
      <c r="Q22" s="14"/>
      <c r="R22" s="14" t="str">
        <f>IF(P22="", "", P22-I22-1-P24)</f>
        <v/>
      </c>
      <c r="S22" s="14"/>
      <c r="T22" s="14"/>
      <c r="U22" s="14"/>
      <c r="V22" s="14" t="s">
        <v>12</v>
      </c>
      <c r="W22" s="14" t="s">
        <v>13</v>
      </c>
      <c r="X22" s="14" t="s">
        <v>14</v>
      </c>
      <c r="Y22" s="14" t="s">
        <v>15</v>
      </c>
      <c r="Z22" s="14" t="s">
        <v>16</v>
      </c>
      <c r="AA22" s="14" t="s">
        <v>17</v>
      </c>
      <c r="AB22" s="14" t="s">
        <v>18</v>
      </c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76" t="s">
        <v>51</v>
      </c>
      <c r="AN22" s="14"/>
      <c r="AO22" s="14"/>
      <c r="AP22" s="14"/>
    </row>
    <row r="23" ht="14.25" customHeight="1">
      <c r="A23" s="14"/>
      <c r="B23" s="14"/>
      <c r="C23" s="14" t="s">
        <v>12</v>
      </c>
      <c r="D23" s="14" t="s">
        <v>13</v>
      </c>
      <c r="E23" s="14" t="s">
        <v>14</v>
      </c>
      <c r="F23" s="14" t="s">
        <v>15</v>
      </c>
      <c r="G23" s="14" t="s">
        <v>16</v>
      </c>
      <c r="H23" s="14" t="s">
        <v>17</v>
      </c>
      <c r="I23" s="14" t="s">
        <v>18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53" t="s">
        <v>19</v>
      </c>
      <c r="U23" s="73">
        <v>11.0</v>
      </c>
      <c r="V23" s="74">
        <v>356.0</v>
      </c>
      <c r="W23" s="51"/>
      <c r="X23" s="51"/>
      <c r="Y23" s="51"/>
      <c r="Z23" s="51"/>
      <c r="AA23" s="51"/>
      <c r="AB23" s="53"/>
      <c r="AC23" s="14">
        <f t="shared" ref="AC23:AG23" si="29">IF(V23="","", LOOKUP(V23, $D$164:$D$227, E$164:E$227))</f>
        <v>3.86</v>
      </c>
      <c r="AD23" s="14" t="str">
        <f t="shared" si="29"/>
        <v/>
      </c>
      <c r="AE23" s="14" t="str">
        <f t="shared" si="29"/>
        <v/>
      </c>
      <c r="AF23" s="14" t="str">
        <f t="shared" si="29"/>
        <v/>
      </c>
      <c r="AG23" s="14" t="str">
        <f t="shared" si="29"/>
        <v/>
      </c>
      <c r="AH23" s="14" t="str">
        <f t="shared" ref="AH23:AH28" si="32">if(AA23=1, 1, IF(AA23="", "", If(AA23&gt;$K$216, $L$216, if(AA23&gt;$K$215, $L$215, if(AA23&gt;$K$214, $L$214, if(AA23&gt;$K$213, $L$213, if(AA23&gt;$K$212, $L$212, if(AA23&gt;$K$210, $L$210, if(AA23&gt;$K$208, $L$208, if(AA23&gt;$K$206, $L$206, if(AA23&gt;$K$204, $L$204, if(AA23&gt;$K$202, $L$202, if(AA23&gt;$K$198, $L$198, if(AA23&gt;$K$194, $L$194, if(AA23&gt;$K$190, $L$190, if(AA23&gt;$K$186, $L$186, if(AA23&gt;$K$182, $L$182, $L$182)))))))))))))))))</f>
        <v/>
      </c>
      <c r="AI23" s="14">
        <f t="shared" ref="AI23:AI28" si="33">IF(SUM(AC23:AH23)=0, "", SUM(AC23:AH23))</f>
        <v>3.86</v>
      </c>
      <c r="AJ23" s="14"/>
      <c r="AK23" s="14">
        <f>IF(AI23="", "", IF(AI24="", IF(AI25="",AI23-AB23-1-AI26, AI23-AB23-1-AI25), AI23-AB23-1-AI24))</f>
        <v>0.46</v>
      </c>
      <c r="AL23" s="14"/>
      <c r="AM23" s="76" t="s">
        <v>52</v>
      </c>
      <c r="AN23" s="14"/>
      <c r="AO23" s="14"/>
      <c r="AP23" s="14"/>
    </row>
    <row r="24" ht="14.25" customHeight="1">
      <c r="A24" s="53" t="s">
        <v>19</v>
      </c>
      <c r="B24" s="73">
        <v>2.0</v>
      </c>
      <c r="C24" s="74">
        <v>495.0</v>
      </c>
      <c r="D24" s="51"/>
      <c r="E24" s="51"/>
      <c r="F24" s="51"/>
      <c r="G24" s="51"/>
      <c r="H24" s="51"/>
      <c r="I24" s="53"/>
      <c r="J24" s="14">
        <f t="shared" ref="J24:N24" si="30">IF(C24="","", LOOKUP(C24, $D$164:$D$227, E$164:E$227))</f>
        <v>4.28</v>
      </c>
      <c r="K24" s="14" t="str">
        <f t="shared" si="30"/>
        <v/>
      </c>
      <c r="L24" s="14" t="str">
        <f t="shared" si="30"/>
        <v/>
      </c>
      <c r="M24" s="14" t="str">
        <f t="shared" si="30"/>
        <v/>
      </c>
      <c r="N24" s="14" t="str">
        <f t="shared" si="30"/>
        <v/>
      </c>
      <c r="O24" s="14" t="str">
        <f t="shared" ref="O24:O29" si="35">if(H24=1, 1, IF(H24="", "", If(H24&gt;$K$216, $L$216, if(H24&gt;$K$215, $L$215, if(H24&gt;$K$214, $L$214, if(H24&gt;$K$213, $L$213, if(H24&gt;$K$212, $L$212, if(H24&gt;$K$210, $L$210, if(H24&gt;$K$208, $L$208, if(H24&gt;$K$206, $L$206, if(H24&gt;$K$204, $L$204, if(H24&gt;$K$202, $L$202, if(H24&gt;$K$198, $L$198, if(H24&gt;$K$194, $L$194, if(H24&gt;$K$190, $L$190, if(H24&gt;$K$186, $L$186, if(H24&gt;$K$182, $L$182, $L$182)))))))))))))))))</f>
        <v/>
      </c>
      <c r="P24" s="14">
        <f t="shared" ref="P24:P29" si="36">IF(SUM(J24:O24)=0, "", SUM(J24:O24))</f>
        <v>4.28</v>
      </c>
      <c r="Q24" s="14"/>
      <c r="R24" s="14">
        <f>IF(P24="", "", IF(P25="", IF(P26="",P24-I24-1-P27, P24-I24-1-P26), P24-I24-1-P25))</f>
        <v>0.07</v>
      </c>
      <c r="S24" s="14"/>
      <c r="T24" s="57" t="s">
        <v>33</v>
      </c>
      <c r="U24" s="51"/>
      <c r="V24" s="51"/>
      <c r="W24" s="57"/>
      <c r="X24" s="57"/>
      <c r="Y24" s="57"/>
      <c r="Z24" s="57"/>
      <c r="AA24" s="51"/>
      <c r="AB24" s="57"/>
      <c r="AC24" s="14" t="str">
        <f t="shared" ref="AC24:AG24" si="31">IF(V24="","", LOOKUP(V24, $D$164:$D$227, E$164:E$227))</f>
        <v/>
      </c>
      <c r="AD24" s="14" t="str">
        <f t="shared" si="31"/>
        <v/>
      </c>
      <c r="AE24" s="14" t="str">
        <f t="shared" si="31"/>
        <v/>
      </c>
      <c r="AF24" s="14" t="str">
        <f t="shared" si="31"/>
        <v/>
      </c>
      <c r="AG24" s="14" t="str">
        <f t="shared" si="31"/>
        <v/>
      </c>
      <c r="AH24" s="14" t="str">
        <f t="shared" si="32"/>
        <v/>
      </c>
      <c r="AI24" s="14" t="str">
        <f t="shared" si="33"/>
        <v/>
      </c>
      <c r="AJ24" s="14"/>
      <c r="AK24" s="14" t="str">
        <f t="shared" ref="AK24:AK26" si="38">IF(AI24="", "", IF(AI25="", AI24-AB24-1-AI26, AI24-AB24-1-AI25))</f>
        <v/>
      </c>
      <c r="AL24" s="14"/>
      <c r="AM24" s="14" t="s">
        <v>53</v>
      </c>
      <c r="AN24" s="14"/>
      <c r="AO24" s="14"/>
      <c r="AP24" s="14"/>
    </row>
    <row r="25" ht="14.25" customHeight="1">
      <c r="A25" s="57" t="s">
        <v>33</v>
      </c>
      <c r="B25" s="51"/>
      <c r="C25" s="51"/>
      <c r="D25" s="57"/>
      <c r="E25" s="57"/>
      <c r="F25" s="57"/>
      <c r="G25" s="57"/>
      <c r="H25" s="51"/>
      <c r="I25" s="57"/>
      <c r="J25" s="14" t="str">
        <f t="shared" ref="J25:N25" si="34">IF(C25="","", LOOKUP(C25, $D$164:$D$227, E$164:E$227))</f>
        <v/>
      </c>
      <c r="K25" s="14" t="str">
        <f t="shared" si="34"/>
        <v/>
      </c>
      <c r="L25" s="14" t="str">
        <f t="shared" si="34"/>
        <v/>
      </c>
      <c r="M25" s="14" t="str">
        <f t="shared" si="34"/>
        <v/>
      </c>
      <c r="N25" s="14" t="str">
        <f t="shared" si="34"/>
        <v/>
      </c>
      <c r="O25" s="14" t="str">
        <f t="shared" si="35"/>
        <v/>
      </c>
      <c r="P25" s="14" t="str">
        <f t="shared" si="36"/>
        <v/>
      </c>
      <c r="Q25" s="14"/>
      <c r="R25" s="14" t="str">
        <f t="shared" ref="R25:R27" si="40">IF(P25="", "", IF(P26="", P25-I25-1-P27, P25-I25-1-P26))</f>
        <v/>
      </c>
      <c r="S25" s="14"/>
      <c r="U25" s="51"/>
      <c r="V25" s="57"/>
      <c r="W25" s="57"/>
      <c r="X25" s="57"/>
      <c r="Y25" s="57"/>
      <c r="Z25" s="57"/>
      <c r="AA25" s="51"/>
      <c r="AB25" s="57"/>
      <c r="AC25" s="14" t="str">
        <f t="shared" ref="AC25:AG25" si="37">IF(V25="","", LOOKUP(V25, $D$164:$D$227, E$164:E$227))</f>
        <v/>
      </c>
      <c r="AD25" s="14" t="str">
        <f t="shared" si="37"/>
        <v/>
      </c>
      <c r="AE25" s="14" t="str">
        <f t="shared" si="37"/>
        <v/>
      </c>
      <c r="AF25" s="14" t="str">
        <f t="shared" si="37"/>
        <v/>
      </c>
      <c r="AG25" s="14" t="str">
        <f t="shared" si="37"/>
        <v/>
      </c>
      <c r="AH25" s="14" t="str">
        <f t="shared" si="32"/>
        <v/>
      </c>
      <c r="AI25" s="14" t="str">
        <f t="shared" si="33"/>
        <v/>
      </c>
      <c r="AJ25" s="14"/>
      <c r="AK25" s="14" t="str">
        <f t="shared" si="38"/>
        <v/>
      </c>
      <c r="AL25" s="14"/>
      <c r="AM25" s="76" t="s">
        <v>54</v>
      </c>
      <c r="AN25" s="14"/>
      <c r="AO25" s="14"/>
      <c r="AP25" s="14"/>
    </row>
    <row r="26" ht="14.25" customHeight="1">
      <c r="B26" s="51"/>
      <c r="C26" s="57"/>
      <c r="D26" s="57"/>
      <c r="E26" s="57">
        <v>158.0</v>
      </c>
      <c r="F26" s="57"/>
      <c r="G26" s="57"/>
      <c r="H26" s="51"/>
      <c r="I26" s="57"/>
      <c r="J26" s="14" t="str">
        <f t="shared" ref="J26:N26" si="39">IF(C26="","", LOOKUP(C26, $D$164:$D$227, E$164:E$227))</f>
        <v/>
      </c>
      <c r="K26" s="14" t="str">
        <f t="shared" si="39"/>
        <v/>
      </c>
      <c r="L26" s="14">
        <f t="shared" si="39"/>
        <v>3.21</v>
      </c>
      <c r="M26" s="14" t="str">
        <f t="shared" si="39"/>
        <v/>
      </c>
      <c r="N26" s="14" t="str">
        <f t="shared" si="39"/>
        <v/>
      </c>
      <c r="O26" s="14" t="str">
        <f t="shared" si="35"/>
        <v/>
      </c>
      <c r="P26" s="14">
        <f t="shared" si="36"/>
        <v>3.21</v>
      </c>
      <c r="Q26" s="14"/>
      <c r="R26" s="77">
        <f t="shared" si="40"/>
        <v>0.6</v>
      </c>
      <c r="S26" s="14"/>
      <c r="T26" s="58" t="s">
        <v>35</v>
      </c>
      <c r="U26" s="51"/>
      <c r="V26" s="51"/>
      <c r="W26" s="58">
        <v>21.0</v>
      </c>
      <c r="X26" s="58"/>
      <c r="Y26" s="58"/>
      <c r="Z26" s="51"/>
      <c r="AA26" s="51"/>
      <c r="AB26" s="58"/>
      <c r="AC26" s="14" t="str">
        <f t="shared" ref="AC26:AG26" si="41">IF(V26="","", LOOKUP(V26, $D$164:$D$227, E$164:E$227))</f>
        <v/>
      </c>
      <c r="AD26" s="67">
        <f t="shared" si="41"/>
        <v>2.4</v>
      </c>
      <c r="AE26" s="14" t="str">
        <f t="shared" si="41"/>
        <v/>
      </c>
      <c r="AF26" s="14" t="str">
        <f t="shared" si="41"/>
        <v/>
      </c>
      <c r="AG26" s="14" t="str">
        <f t="shared" si="41"/>
        <v/>
      </c>
      <c r="AH26" s="14" t="str">
        <f t="shared" si="32"/>
        <v/>
      </c>
      <c r="AI26" s="14">
        <f t="shared" si="33"/>
        <v>2.4</v>
      </c>
      <c r="AJ26" s="14"/>
      <c r="AK26" s="14">
        <f t="shared" si="38"/>
        <v>-0.16</v>
      </c>
      <c r="AL26" s="14"/>
      <c r="AM26" s="14"/>
      <c r="AN26" s="14"/>
      <c r="AO26" s="14"/>
      <c r="AP26" s="14"/>
    </row>
    <row r="27" ht="14.25" customHeight="1">
      <c r="A27" s="58" t="s">
        <v>35</v>
      </c>
      <c r="B27" s="51"/>
      <c r="C27" s="51"/>
      <c r="D27" s="58"/>
      <c r="E27" s="58"/>
      <c r="F27" s="58"/>
      <c r="G27" s="51"/>
      <c r="H27" s="51"/>
      <c r="I27" s="58"/>
      <c r="J27" s="14" t="str">
        <f t="shared" ref="J27:N27" si="42">IF(C27="","", LOOKUP(C27, $D$164:$D$227, E$164:E$227))</f>
        <v/>
      </c>
      <c r="K27" s="14" t="str">
        <f t="shared" si="42"/>
        <v/>
      </c>
      <c r="L27" s="14" t="str">
        <f t="shared" si="42"/>
        <v/>
      </c>
      <c r="M27" s="14" t="str">
        <f t="shared" si="42"/>
        <v/>
      </c>
      <c r="N27" s="14" t="str">
        <f t="shared" si="42"/>
        <v/>
      </c>
      <c r="O27" s="14" t="str">
        <f t="shared" si="35"/>
        <v/>
      </c>
      <c r="P27" s="14" t="str">
        <f t="shared" si="36"/>
        <v/>
      </c>
      <c r="Q27" s="14"/>
      <c r="R27" s="14" t="str">
        <f t="shared" si="40"/>
        <v/>
      </c>
      <c r="S27" s="14"/>
      <c r="T27" s="59" t="s">
        <v>22</v>
      </c>
      <c r="U27" s="51"/>
      <c r="V27" s="51"/>
      <c r="W27" s="51"/>
      <c r="X27" s="51"/>
      <c r="Y27" s="51"/>
      <c r="Z27" s="51"/>
      <c r="AA27" s="56">
        <v>10.0</v>
      </c>
      <c r="AB27" s="60"/>
      <c r="AC27" s="14" t="str">
        <f t="shared" ref="AC27:AG27" si="43">IF(V27="","", LOOKUP(V27, $D$164:$D$227, E$164:E$227))</f>
        <v/>
      </c>
      <c r="AD27" s="14" t="str">
        <f t="shared" si="43"/>
        <v/>
      </c>
      <c r="AE27" s="14" t="str">
        <f t="shared" si="43"/>
        <v/>
      </c>
      <c r="AF27" s="14" t="str">
        <f t="shared" si="43"/>
        <v/>
      </c>
      <c r="AG27" s="14" t="str">
        <f t="shared" si="43"/>
        <v/>
      </c>
      <c r="AH27" s="14">
        <f t="shared" si="32"/>
        <v>1.56</v>
      </c>
      <c r="AI27" s="14">
        <f t="shared" si="33"/>
        <v>1.56</v>
      </c>
      <c r="AJ27" s="14"/>
      <c r="AK27" s="77">
        <f t="shared" ref="AK27:AK28" si="46">IF(AI27="", "", AI27-AB27-1-AI28)</f>
        <v>0.56</v>
      </c>
      <c r="AL27" s="14"/>
      <c r="AM27" s="14"/>
      <c r="AN27" s="14"/>
      <c r="AO27" s="14"/>
      <c r="AP27" s="14"/>
    </row>
    <row r="28" ht="14.25" customHeight="1">
      <c r="A28" s="59" t="s">
        <v>22</v>
      </c>
      <c r="B28" s="51"/>
      <c r="C28" s="51"/>
      <c r="D28" s="51"/>
      <c r="E28" s="51"/>
      <c r="F28" s="51"/>
      <c r="G28" s="51"/>
      <c r="H28" s="59">
        <v>12.0</v>
      </c>
      <c r="I28" s="60"/>
      <c r="J28" s="14" t="str">
        <f t="shared" ref="J28:N28" si="44">IF(C28="","", LOOKUP(C28, $D$164:$D$227, E$164:E$227))</f>
        <v/>
      </c>
      <c r="K28" s="14" t="str">
        <f t="shared" si="44"/>
        <v/>
      </c>
      <c r="L28" s="14" t="str">
        <f t="shared" si="44"/>
        <v/>
      </c>
      <c r="M28" s="14" t="str">
        <f t="shared" si="44"/>
        <v/>
      </c>
      <c r="N28" s="14" t="str">
        <f t="shared" si="44"/>
        <v/>
      </c>
      <c r="O28" s="14">
        <f t="shared" si="35"/>
        <v>1.61</v>
      </c>
      <c r="P28" s="14">
        <f t="shared" si="36"/>
        <v>1.61</v>
      </c>
      <c r="Q28" s="14"/>
      <c r="R28" s="75">
        <f t="shared" ref="R28:R29" si="48">IF(P28="", "", P28-I28-1-P29)</f>
        <v>-0.81</v>
      </c>
      <c r="S28" s="14"/>
      <c r="T28" s="14"/>
      <c r="U28" s="51"/>
      <c r="V28" s="51"/>
      <c r="W28" s="51"/>
      <c r="X28" s="51"/>
      <c r="Y28" s="51"/>
      <c r="Z28" s="51"/>
      <c r="AA28" s="61"/>
      <c r="AB28" s="60"/>
      <c r="AC28" s="14" t="str">
        <f t="shared" ref="AC28:AG28" si="45">IF(V28="","", LOOKUP(V28, $D$164:$D$227, E$164:E$227))</f>
        <v/>
      </c>
      <c r="AD28" s="14" t="str">
        <f t="shared" si="45"/>
        <v/>
      </c>
      <c r="AE28" s="14" t="str">
        <f t="shared" si="45"/>
        <v/>
      </c>
      <c r="AF28" s="14" t="str">
        <f t="shared" si="45"/>
        <v/>
      </c>
      <c r="AG28" s="14" t="str">
        <f t="shared" si="45"/>
        <v/>
      </c>
      <c r="AH28" s="14" t="str">
        <f t="shared" si="32"/>
        <v/>
      </c>
      <c r="AI28" s="14" t="str">
        <f t="shared" si="33"/>
        <v/>
      </c>
      <c r="AJ28" s="14"/>
      <c r="AK28" s="14" t="str">
        <f t="shared" si="46"/>
        <v/>
      </c>
      <c r="AL28" s="14"/>
      <c r="AM28" s="14" t="s">
        <v>4</v>
      </c>
      <c r="AN28" s="14"/>
      <c r="AO28" s="14"/>
      <c r="AP28" s="14"/>
    </row>
    <row r="29" ht="14.25" customHeight="1">
      <c r="A29" s="14"/>
      <c r="B29" s="51"/>
      <c r="C29" s="51"/>
      <c r="D29" s="51"/>
      <c r="E29" s="51"/>
      <c r="F29" s="51"/>
      <c r="G29" s="51"/>
      <c r="H29" s="60">
        <v>8.0</v>
      </c>
      <c r="I29" s="60">
        <v>1.0</v>
      </c>
      <c r="J29" s="14" t="str">
        <f t="shared" ref="J29:N29" si="47">IF(C29="","", LOOKUP(C29, $D$164:$D$227, E$164:E$227))</f>
        <v/>
      </c>
      <c r="K29" s="14" t="str">
        <f t="shared" si="47"/>
        <v/>
      </c>
      <c r="L29" s="14" t="str">
        <f t="shared" si="47"/>
        <v/>
      </c>
      <c r="M29" s="14" t="str">
        <f t="shared" si="47"/>
        <v/>
      </c>
      <c r="N29" s="14" t="str">
        <f t="shared" si="47"/>
        <v/>
      </c>
      <c r="O29" s="14">
        <f t="shared" si="35"/>
        <v>1.42</v>
      </c>
      <c r="P29" s="14">
        <f t="shared" si="36"/>
        <v>1.42</v>
      </c>
      <c r="Q29" s="14"/>
      <c r="R29" s="75">
        <f t="shared" si="48"/>
        <v>-0.58</v>
      </c>
      <c r="S29" s="14"/>
      <c r="T29" s="14"/>
      <c r="U29" s="14"/>
      <c r="V29" s="14" t="s">
        <v>12</v>
      </c>
      <c r="W29" s="14" t="s">
        <v>13</v>
      </c>
      <c r="X29" s="14" t="s">
        <v>14</v>
      </c>
      <c r="Y29" s="14" t="s">
        <v>15</v>
      </c>
      <c r="Z29" s="14" t="s">
        <v>16</v>
      </c>
      <c r="AA29" s="14" t="s">
        <v>17</v>
      </c>
      <c r="AB29" s="14" t="s">
        <v>18</v>
      </c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76" t="s">
        <v>55</v>
      </c>
      <c r="AN29" s="14"/>
      <c r="AO29" s="14"/>
      <c r="AP29" s="14"/>
    </row>
    <row r="30" ht="14.25" customHeight="1">
      <c r="A30" s="14"/>
      <c r="B30" s="14"/>
      <c r="C30" s="14" t="s">
        <v>12</v>
      </c>
      <c r="D30" s="14" t="s">
        <v>13</v>
      </c>
      <c r="E30" s="14" t="s">
        <v>14</v>
      </c>
      <c r="F30" s="14" t="s">
        <v>15</v>
      </c>
      <c r="G30" s="14" t="s">
        <v>16</v>
      </c>
      <c r="H30" s="14" t="s">
        <v>17</v>
      </c>
      <c r="I30" s="14" t="s">
        <v>18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53" t="s">
        <v>19</v>
      </c>
      <c r="U30" s="73">
        <v>12.0</v>
      </c>
      <c r="V30" s="74"/>
      <c r="W30" s="51"/>
      <c r="X30" s="51"/>
      <c r="Y30" s="51"/>
      <c r="Z30" s="51"/>
      <c r="AA30" s="51"/>
      <c r="AB30" s="53"/>
      <c r="AC30" s="14" t="str">
        <f t="shared" ref="AC30:AG30" si="49">IF(V30="","", LOOKUP(V30, $D$164:$D$227, E$164:E$227))</f>
        <v/>
      </c>
      <c r="AD30" s="14" t="str">
        <f t="shared" si="49"/>
        <v/>
      </c>
      <c r="AE30" s="14" t="str">
        <f t="shared" si="49"/>
        <v/>
      </c>
      <c r="AF30" s="14" t="str">
        <f t="shared" si="49"/>
        <v/>
      </c>
      <c r="AG30" s="14" t="str">
        <f t="shared" si="49"/>
        <v/>
      </c>
      <c r="AH30" s="14" t="str">
        <f t="shared" ref="AH30:AH35" si="52">if(AA30=1, 1, IF(AA30="", "", If(AA30&gt;$K$216, $L$216, if(AA30&gt;$K$215, $L$215, if(AA30&gt;$K$214, $L$214, if(AA30&gt;$K$213, $L$213, if(AA30&gt;$K$212, $L$212, if(AA30&gt;$K$210, $L$210, if(AA30&gt;$K$208, $L$208, if(AA30&gt;$K$206, $L$206, if(AA30&gt;$K$204, $L$204, if(AA30&gt;$K$202, $L$202, if(AA30&gt;$K$198, $L$198, if(AA30&gt;$K$194, $L$194, if(AA30&gt;$K$190, $L$190, if(AA30&gt;$K$186, $L$186, if(AA30&gt;$K$182, $L$182, $L$182)))))))))))))))))</f>
        <v/>
      </c>
      <c r="AI30" s="14" t="str">
        <f t="shared" ref="AI30:AI35" si="53">IF(SUM(AC30:AH30)=0, "", SUM(AC30:AH30))</f>
        <v/>
      </c>
      <c r="AJ30" s="14"/>
      <c r="AK30" s="14" t="str">
        <f>IF(AI30="", "", IF(AI31="", IF(AI32="",AI30-AB30-1-AI33, AI30-AB30-1-AI32), AI30-AB30-1-AI31))</f>
        <v/>
      </c>
      <c r="AL30" s="14"/>
      <c r="AM30" s="76" t="s">
        <v>56</v>
      </c>
      <c r="AN30" s="14"/>
      <c r="AO30" s="14"/>
      <c r="AP30" s="14"/>
    </row>
    <row r="31" ht="14.25" customHeight="1">
      <c r="A31" s="53" t="s">
        <v>19</v>
      </c>
      <c r="B31" s="73">
        <v>3.0</v>
      </c>
      <c r="C31" s="53">
        <v>445.0</v>
      </c>
      <c r="D31" s="53"/>
      <c r="E31" s="53"/>
      <c r="F31" s="53"/>
      <c r="G31" s="53"/>
      <c r="H31" s="53"/>
      <c r="I31" s="53"/>
      <c r="J31" s="14">
        <f t="shared" ref="J31:N31" si="50">IF(C31="","", LOOKUP(C31, $D$164:$D$227, E$164:E$227))</f>
        <v>4.08</v>
      </c>
      <c r="K31" s="14" t="str">
        <f t="shared" si="50"/>
        <v/>
      </c>
      <c r="L31" s="14" t="str">
        <f t="shared" si="50"/>
        <v/>
      </c>
      <c r="M31" s="14" t="str">
        <f t="shared" si="50"/>
        <v/>
      </c>
      <c r="N31" s="14" t="str">
        <f t="shared" si="50"/>
        <v/>
      </c>
      <c r="O31" s="14" t="str">
        <f t="shared" ref="O31:O36" si="55">if(H31=1, 1, IF(H31="", "", If(H31&gt;$K$216, $L$216, if(H31&gt;$K$215, $L$215, if(H31&gt;$K$214, $L$214, if(H31&gt;$K$213, $L$213, if(H31&gt;$K$212, $L$212, if(H31&gt;$K$210, $L$210, if(H31&gt;$K$208, $L$208, if(H31&gt;$K$206, $L$206, if(H31&gt;$K$204, $L$204, if(H31&gt;$K$202, $L$202, if(H31&gt;$K$198, $L$198, if(H31&gt;$K$194, $L$194, if(H31&gt;$K$190, $L$190, if(H31&gt;$K$186, $L$186, if(H31&gt;$K$182, $L$182, $L$182)))))))))))))))))</f>
        <v/>
      </c>
      <c r="P31" s="14">
        <f t="shared" ref="P31:P36" si="56">IF(SUM(J31:O31)=0, "", SUM(J31:O31))</f>
        <v>4.08</v>
      </c>
      <c r="Q31" s="14"/>
      <c r="R31" s="14">
        <f>IF(P31="", "", IF(P32="", IF(P33="",P31-I31-1-P34, P31-I31-1-P33), P31-I31-1-P32))</f>
        <v>0.15</v>
      </c>
      <c r="S31" s="14"/>
      <c r="T31" s="57" t="s">
        <v>33</v>
      </c>
      <c r="U31" s="51"/>
      <c r="V31" s="51"/>
      <c r="W31" s="57"/>
      <c r="X31" s="57"/>
      <c r="Y31" s="57"/>
      <c r="Z31" s="57"/>
      <c r="AA31" s="51"/>
      <c r="AB31" s="57"/>
      <c r="AC31" s="14" t="str">
        <f t="shared" ref="AC31:AG31" si="51">IF(V31="","", LOOKUP(V31, $D$164:$D$227, E$164:E$227))</f>
        <v/>
      </c>
      <c r="AD31" s="14" t="str">
        <f t="shared" si="51"/>
        <v/>
      </c>
      <c r="AE31" s="14" t="str">
        <f t="shared" si="51"/>
        <v/>
      </c>
      <c r="AF31" s="14" t="str">
        <f t="shared" si="51"/>
        <v/>
      </c>
      <c r="AG31" s="14" t="str">
        <f t="shared" si="51"/>
        <v/>
      </c>
      <c r="AH31" s="14" t="str">
        <f t="shared" si="52"/>
        <v/>
      </c>
      <c r="AI31" s="14" t="str">
        <f t="shared" si="53"/>
        <v/>
      </c>
      <c r="AJ31" s="14"/>
      <c r="AK31" s="14" t="str">
        <f t="shared" ref="AK31:AK33" si="58">IF(AI31="", "", IF(AI32="", AI31-AB31-1-AI33, AI31-AB31-1-AI32))</f>
        <v/>
      </c>
      <c r="AL31" s="14"/>
      <c r="AM31" s="76" t="s">
        <v>57</v>
      </c>
      <c r="AN31" s="14"/>
      <c r="AO31" s="14"/>
      <c r="AP31" s="14"/>
    </row>
    <row r="32" ht="14.25" customHeight="1">
      <c r="A32" s="57" t="s">
        <v>33</v>
      </c>
      <c r="B32" s="51"/>
      <c r="C32" s="51"/>
      <c r="D32" s="57"/>
      <c r="E32" s="57"/>
      <c r="F32" s="57"/>
      <c r="G32" s="57"/>
      <c r="H32" s="51"/>
      <c r="I32" s="57"/>
      <c r="J32" s="14" t="str">
        <f t="shared" ref="J32:N32" si="54">IF(C32="","", LOOKUP(C32, $D$164:$D$227, E$164:E$227))</f>
        <v/>
      </c>
      <c r="K32" s="14" t="str">
        <f t="shared" si="54"/>
        <v/>
      </c>
      <c r="L32" s="14" t="str">
        <f t="shared" si="54"/>
        <v/>
      </c>
      <c r="M32" s="14" t="str">
        <f t="shared" si="54"/>
        <v/>
      </c>
      <c r="N32" s="14" t="str">
        <f t="shared" si="54"/>
        <v/>
      </c>
      <c r="O32" s="14" t="str">
        <f t="shared" si="55"/>
        <v/>
      </c>
      <c r="P32" s="14" t="str">
        <f t="shared" si="56"/>
        <v/>
      </c>
      <c r="Q32" s="14"/>
      <c r="R32" s="14" t="str">
        <f t="shared" ref="R32:R34" si="60">IF(P32="", "", IF(P33="", P32-I32-1-P34, P32-I32-1-P33))</f>
        <v/>
      </c>
      <c r="S32" s="14"/>
      <c r="U32" s="51"/>
      <c r="V32" s="57">
        <v>155.0</v>
      </c>
      <c r="W32" s="57"/>
      <c r="X32" s="57"/>
      <c r="Y32" s="57"/>
      <c r="Z32" s="57"/>
      <c r="AA32" s="51"/>
      <c r="AB32" s="57"/>
      <c r="AC32" s="14">
        <f t="shared" ref="AC32:AG32" si="57">IF(V32="","", LOOKUP(V32, $D$164:$D$227, E$164:E$227))</f>
        <v>2.99</v>
      </c>
      <c r="AD32" s="14" t="str">
        <f t="shared" si="57"/>
        <v/>
      </c>
      <c r="AE32" s="14" t="str">
        <f t="shared" si="57"/>
        <v/>
      </c>
      <c r="AF32" s="14" t="str">
        <f t="shared" si="57"/>
        <v/>
      </c>
      <c r="AG32" s="14" t="str">
        <f t="shared" si="57"/>
        <v/>
      </c>
      <c r="AH32" s="14" t="str">
        <f t="shared" si="52"/>
        <v/>
      </c>
      <c r="AI32" s="14">
        <f t="shared" si="53"/>
        <v>2.99</v>
      </c>
      <c r="AJ32" s="14"/>
      <c r="AK32" s="14">
        <f t="shared" si="58"/>
        <v>0.43</v>
      </c>
      <c r="AL32" s="14"/>
      <c r="AM32" s="14"/>
      <c r="AN32" s="14"/>
      <c r="AO32" s="14"/>
      <c r="AP32" s="14"/>
    </row>
    <row r="33" ht="14.25" customHeight="1">
      <c r="B33" s="51"/>
      <c r="C33" s="57"/>
      <c r="D33" s="57">
        <v>148.0</v>
      </c>
      <c r="E33" s="57"/>
      <c r="F33" s="57"/>
      <c r="G33" s="57"/>
      <c r="H33" s="51"/>
      <c r="I33" s="57"/>
      <c r="J33" s="14" t="str">
        <f t="shared" ref="J33:N33" si="59">IF(C33="","", LOOKUP(C33, $D$164:$D$227, E$164:E$227))</f>
        <v/>
      </c>
      <c r="K33" s="14">
        <f t="shared" si="59"/>
        <v>2.93</v>
      </c>
      <c r="L33" s="14" t="str">
        <f t="shared" si="59"/>
        <v/>
      </c>
      <c r="M33" s="14" t="str">
        <f t="shared" si="59"/>
        <v/>
      </c>
      <c r="N33" s="14" t="str">
        <f t="shared" si="59"/>
        <v/>
      </c>
      <c r="O33" s="14" t="str">
        <f t="shared" si="55"/>
        <v/>
      </c>
      <c r="P33" s="14">
        <f t="shared" si="56"/>
        <v>2.93</v>
      </c>
      <c r="Q33" s="14"/>
      <c r="R33" s="75">
        <f t="shared" si="60"/>
        <v>-0.52</v>
      </c>
      <c r="S33" s="14"/>
      <c r="T33" s="58" t="s">
        <v>35</v>
      </c>
      <c r="U33" s="51"/>
      <c r="V33" s="51"/>
      <c r="W33" s="58"/>
      <c r="X33" s="58"/>
      <c r="Y33" s="58"/>
      <c r="Z33" s="51"/>
      <c r="AA33" s="51"/>
      <c r="AB33" s="58"/>
      <c r="AC33" s="14" t="str">
        <f t="shared" ref="AC33:AG33" si="61">IF(V33="","", LOOKUP(V33, $D$164:$D$227, E$164:E$227))</f>
        <v/>
      </c>
      <c r="AD33" s="14" t="str">
        <f t="shared" si="61"/>
        <v/>
      </c>
      <c r="AE33" s="14" t="str">
        <f t="shared" si="61"/>
        <v/>
      </c>
      <c r="AF33" s="14" t="str">
        <f t="shared" si="61"/>
        <v/>
      </c>
      <c r="AG33" s="14" t="str">
        <f t="shared" si="61"/>
        <v/>
      </c>
      <c r="AH33" s="14" t="str">
        <f t="shared" si="52"/>
        <v/>
      </c>
      <c r="AI33" s="14" t="str">
        <f t="shared" si="53"/>
        <v/>
      </c>
      <c r="AJ33" s="14"/>
      <c r="AK33" s="14" t="str">
        <f t="shared" si="58"/>
        <v/>
      </c>
      <c r="AL33" s="14"/>
      <c r="AM33" s="14"/>
      <c r="AN33" s="14"/>
      <c r="AO33" s="14"/>
      <c r="AP33" s="14"/>
    </row>
    <row r="34" ht="14.25" customHeight="1">
      <c r="A34" s="58" t="s">
        <v>35</v>
      </c>
      <c r="B34" s="51"/>
      <c r="C34" s="51"/>
      <c r="D34" s="58">
        <v>26.0</v>
      </c>
      <c r="E34" s="58"/>
      <c r="F34" s="58"/>
      <c r="G34" s="51"/>
      <c r="H34" s="51"/>
      <c r="I34" s="58"/>
      <c r="J34" s="14" t="str">
        <f t="shared" ref="J34:N34" si="62">IF(C34="","", LOOKUP(C34, $D$164:$D$227, E$164:E$227))</f>
        <v/>
      </c>
      <c r="K34" s="67">
        <f t="shared" si="62"/>
        <v>2.45</v>
      </c>
      <c r="L34" s="14" t="str">
        <f t="shared" si="62"/>
        <v/>
      </c>
      <c r="M34" s="14" t="str">
        <f t="shared" si="62"/>
        <v/>
      </c>
      <c r="N34" s="14" t="str">
        <f t="shared" si="62"/>
        <v/>
      </c>
      <c r="O34" s="14" t="str">
        <f t="shared" si="55"/>
        <v/>
      </c>
      <c r="P34" s="14">
        <f t="shared" si="56"/>
        <v>2.45</v>
      </c>
      <c r="Q34" s="14"/>
      <c r="R34" s="14">
        <f t="shared" si="60"/>
        <v>0.32</v>
      </c>
      <c r="S34" s="14"/>
      <c r="T34" s="59" t="s">
        <v>22</v>
      </c>
      <c r="U34" s="51"/>
      <c r="V34" s="51"/>
      <c r="W34" s="51"/>
      <c r="X34" s="51"/>
      <c r="Y34" s="51"/>
      <c r="Z34" s="51"/>
      <c r="AA34" s="59">
        <v>10.0</v>
      </c>
      <c r="AB34" s="60"/>
      <c r="AC34" s="14" t="str">
        <f t="shared" ref="AC34:AG34" si="63">IF(V34="","", LOOKUP(V34, $D$164:$D$227, E$164:E$227))</f>
        <v/>
      </c>
      <c r="AD34" s="14" t="str">
        <f t="shared" si="63"/>
        <v/>
      </c>
      <c r="AE34" s="14" t="str">
        <f t="shared" si="63"/>
        <v/>
      </c>
      <c r="AF34" s="14" t="str">
        <f t="shared" si="63"/>
        <v/>
      </c>
      <c r="AG34" s="14" t="str">
        <f t="shared" si="63"/>
        <v/>
      </c>
      <c r="AH34" s="14">
        <f t="shared" si="52"/>
        <v>1.56</v>
      </c>
      <c r="AI34" s="14">
        <f t="shared" si="53"/>
        <v>1.56</v>
      </c>
      <c r="AJ34" s="14"/>
      <c r="AK34" s="75">
        <f t="shared" ref="AK34:AK35" si="66">IF(AI34="", "", AI34-AB34-1-AI35)</f>
        <v>-0.48</v>
      </c>
      <c r="AL34" s="14"/>
      <c r="AM34" s="14"/>
      <c r="AN34" s="14"/>
      <c r="AO34" s="14"/>
      <c r="AP34" s="14"/>
    </row>
    <row r="35" ht="14.25" customHeight="1">
      <c r="A35" s="59" t="s">
        <v>22</v>
      </c>
      <c r="B35" s="51"/>
      <c r="C35" s="51"/>
      <c r="D35" s="51"/>
      <c r="E35" s="51"/>
      <c r="F35" s="51"/>
      <c r="G35" s="51"/>
      <c r="H35" s="59">
        <v>5.0</v>
      </c>
      <c r="I35" s="60"/>
      <c r="J35" s="14" t="str">
        <f t="shared" ref="J35:N35" si="64">IF(C35="","", LOOKUP(C35, $D$164:$D$227, E$164:E$227))</f>
        <v/>
      </c>
      <c r="K35" s="14" t="str">
        <f t="shared" si="64"/>
        <v/>
      </c>
      <c r="L35" s="14" t="str">
        <f t="shared" si="64"/>
        <v/>
      </c>
      <c r="M35" s="14" t="str">
        <f t="shared" si="64"/>
        <v/>
      </c>
      <c r="N35" s="14" t="str">
        <f t="shared" si="64"/>
        <v/>
      </c>
      <c r="O35" s="14">
        <f t="shared" si="55"/>
        <v>1.13</v>
      </c>
      <c r="P35" s="14">
        <f t="shared" si="56"/>
        <v>1.13</v>
      </c>
      <c r="Q35" s="14"/>
      <c r="R35" s="14">
        <f t="shared" ref="R35:R36" si="68">IF(P35="", "", P35-I35-1-P36)</f>
        <v>0.13</v>
      </c>
      <c r="S35" s="14"/>
      <c r="T35" s="14"/>
      <c r="U35" s="51"/>
      <c r="V35" s="51"/>
      <c r="W35" s="51"/>
      <c r="X35" s="51"/>
      <c r="Y35" s="51"/>
      <c r="Z35" s="51"/>
      <c r="AA35" s="60">
        <v>3.0</v>
      </c>
      <c r="AB35" s="60"/>
      <c r="AC35" s="14" t="str">
        <f t="shared" ref="AC35:AG35" si="65">IF(V35="","", LOOKUP(V35, $D$164:$D$227, E$164:E$227))</f>
        <v/>
      </c>
      <c r="AD35" s="14" t="str">
        <f t="shared" si="65"/>
        <v/>
      </c>
      <c r="AE35" s="14" t="str">
        <f t="shared" si="65"/>
        <v/>
      </c>
      <c r="AF35" s="14" t="str">
        <f t="shared" si="65"/>
        <v/>
      </c>
      <c r="AG35" s="14" t="str">
        <f t="shared" si="65"/>
        <v/>
      </c>
      <c r="AH35" s="14">
        <f t="shared" si="52"/>
        <v>1.04</v>
      </c>
      <c r="AI35" s="14">
        <f t="shared" si="53"/>
        <v>1.04</v>
      </c>
      <c r="AJ35" s="14"/>
      <c r="AK35" s="14">
        <f t="shared" si="66"/>
        <v>0.04</v>
      </c>
      <c r="AL35" s="14"/>
      <c r="AM35" s="14"/>
      <c r="AN35" s="14"/>
      <c r="AO35" s="14"/>
      <c r="AP35" s="14"/>
    </row>
    <row r="36" ht="14.25" customHeight="1">
      <c r="A36" s="14"/>
      <c r="B36" s="51"/>
      <c r="C36" s="51"/>
      <c r="D36" s="51"/>
      <c r="E36" s="51"/>
      <c r="F36" s="51"/>
      <c r="G36" s="51"/>
      <c r="H36" s="60"/>
      <c r="I36" s="60"/>
      <c r="J36" s="14" t="str">
        <f t="shared" ref="J36:N36" si="67">IF(C36="","", LOOKUP(C36, $D$164:$D$227, E$164:E$227))</f>
        <v/>
      </c>
      <c r="K36" s="14" t="str">
        <f t="shared" si="67"/>
        <v/>
      </c>
      <c r="L36" s="14" t="str">
        <f t="shared" si="67"/>
        <v/>
      </c>
      <c r="M36" s="14" t="str">
        <f t="shared" si="67"/>
        <v/>
      </c>
      <c r="N36" s="14" t="str">
        <f t="shared" si="67"/>
        <v/>
      </c>
      <c r="O36" s="14" t="str">
        <f t="shared" si="55"/>
        <v/>
      </c>
      <c r="P36" s="14" t="str">
        <f t="shared" si="56"/>
        <v/>
      </c>
      <c r="Q36" s="14"/>
      <c r="R36" s="14" t="str">
        <f t="shared" si="68"/>
        <v/>
      </c>
      <c r="S36" s="14"/>
      <c r="T36" s="14"/>
      <c r="U36" s="14"/>
      <c r="V36" s="14" t="s">
        <v>12</v>
      </c>
      <c r="W36" s="14" t="s">
        <v>13</v>
      </c>
      <c r="X36" s="14" t="s">
        <v>14</v>
      </c>
      <c r="Y36" s="14" t="s">
        <v>15</v>
      </c>
      <c r="Z36" s="14" t="s">
        <v>16</v>
      </c>
      <c r="AA36" s="14" t="s">
        <v>17</v>
      </c>
      <c r="AB36" s="14" t="s">
        <v>18</v>
      </c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</row>
    <row r="37" ht="14.25" customHeight="1">
      <c r="A37" s="14"/>
      <c r="B37" s="14"/>
      <c r="C37" s="14" t="s">
        <v>12</v>
      </c>
      <c r="D37" s="14" t="s">
        <v>13</v>
      </c>
      <c r="E37" s="14" t="s">
        <v>14</v>
      </c>
      <c r="F37" s="14" t="s">
        <v>15</v>
      </c>
      <c r="G37" s="14" t="s">
        <v>16</v>
      </c>
      <c r="H37" s="14" t="s">
        <v>17</v>
      </c>
      <c r="I37" s="14" t="s">
        <v>18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53" t="s">
        <v>19</v>
      </c>
      <c r="U37" s="73">
        <v>13.0</v>
      </c>
      <c r="V37" s="74">
        <v>563.0</v>
      </c>
      <c r="W37" s="51"/>
      <c r="X37" s="51"/>
      <c r="Y37" s="51"/>
      <c r="Z37" s="51"/>
      <c r="AA37" s="51"/>
      <c r="AB37" s="53"/>
      <c r="AC37" s="14">
        <f t="shared" ref="AC37:AG37" si="69">IF(V37="","", LOOKUP(V37, $D$164:$D$227, E$164:E$227))</f>
        <v>4.74</v>
      </c>
      <c r="AD37" s="14" t="str">
        <f t="shared" si="69"/>
        <v/>
      </c>
      <c r="AE37" s="14" t="str">
        <f t="shared" si="69"/>
        <v/>
      </c>
      <c r="AF37" s="14" t="str">
        <f t="shared" si="69"/>
        <v/>
      </c>
      <c r="AG37" s="14" t="str">
        <f t="shared" si="69"/>
        <v/>
      </c>
      <c r="AH37" s="14" t="str">
        <f t="shared" ref="AH37:AH42" si="72">if(AA37=1, 1, IF(AA37="", "", If(AA37&gt;$K$216, $L$216, if(AA37&gt;$K$215, $L$215, if(AA37&gt;$K$214, $L$214, if(AA37&gt;$K$213, $L$213, if(AA37&gt;$K$212, $L$212, if(AA37&gt;$K$210, $L$210, if(AA37&gt;$K$208, $L$208, if(AA37&gt;$K$206, $L$206, if(AA37&gt;$K$204, $L$204, if(AA37&gt;$K$202, $L$202, if(AA37&gt;$K$198, $L$198, if(AA37&gt;$K$194, $L$194, if(AA37&gt;$K$190, $L$190, if(AA37&gt;$K$186, $L$186, if(AA37&gt;$K$182, $L$182, $L$182)))))))))))))))))</f>
        <v/>
      </c>
      <c r="AI37" s="14">
        <f t="shared" ref="AI37:AI42" si="73">IF(SUM(AC37:AH37)=0, "", SUM(AC37:AH37))</f>
        <v>4.74</v>
      </c>
      <c r="AJ37" s="14"/>
      <c r="AK37" s="14">
        <f>IF(AI37="", "", IF(AI38="", IF(AI39="",AI37-AB37-1-AI40, AI37-AB37-1-AI39), AI37-AB37-1-AI38))</f>
        <v>0.48</v>
      </c>
      <c r="AL37" s="14"/>
      <c r="AM37" s="14"/>
      <c r="AN37" s="14"/>
      <c r="AO37" s="14"/>
      <c r="AP37" s="14"/>
    </row>
    <row r="38" ht="14.25" customHeight="1">
      <c r="A38" s="53" t="s">
        <v>19</v>
      </c>
      <c r="B38" s="73">
        <v>4.0</v>
      </c>
      <c r="C38" s="74"/>
      <c r="D38" s="51"/>
      <c r="E38" s="51"/>
      <c r="F38" s="51"/>
      <c r="G38" s="51"/>
      <c r="H38" s="51"/>
      <c r="I38" s="53"/>
      <c r="J38" s="14" t="str">
        <f t="shared" ref="J38:N38" si="70">IF(C38="","", LOOKUP(C38, $D$164:$D$227, E$164:E$227))</f>
        <v/>
      </c>
      <c r="K38" s="14" t="str">
        <f t="shared" si="70"/>
        <v/>
      </c>
      <c r="L38" s="14" t="str">
        <f t="shared" si="70"/>
        <v/>
      </c>
      <c r="M38" s="14" t="str">
        <f t="shared" si="70"/>
        <v/>
      </c>
      <c r="N38" s="14" t="str">
        <f t="shared" si="70"/>
        <v/>
      </c>
      <c r="O38" s="14" t="str">
        <f t="shared" ref="O38:O43" si="75">if(H38=1, 1, IF(H38="", "", If(H38&gt;$K$216, $L$216, if(H38&gt;$K$215, $L$215, if(H38&gt;$K$214, $L$214, if(H38&gt;$K$213, $L$213, if(H38&gt;$K$212, $L$212, if(H38&gt;$K$210, $L$210, if(H38&gt;$K$208, $L$208, if(H38&gt;$K$206, $L$206, if(H38&gt;$K$204, $L$204, if(H38&gt;$K$202, $L$202, if(H38&gt;$K$198, $L$198, if(H38&gt;$K$194, $L$194, if(H38&gt;$K$190, $L$190, if(H38&gt;$K$186, $L$186, if(H38&gt;$K$182, $L$182, $L$182)))))))))))))))))</f>
        <v/>
      </c>
      <c r="P38" s="14" t="str">
        <f t="shared" ref="P38:P43" si="76">IF(SUM(J38:O38)=0, "", SUM(J38:O38))</f>
        <v/>
      </c>
      <c r="Q38" s="14"/>
      <c r="R38" s="14" t="str">
        <f>IF(P38="", "", IF(P39="", IF(P40="",P38-I38-1-P41, P38-I38-1-P40), P38-I38-1-P39))</f>
        <v/>
      </c>
      <c r="S38" s="14"/>
      <c r="T38" s="57" t="s">
        <v>33</v>
      </c>
      <c r="U38" s="51"/>
      <c r="V38" s="51"/>
      <c r="W38" s="57"/>
      <c r="X38" s="57"/>
      <c r="Y38" s="57"/>
      <c r="Z38" s="57"/>
      <c r="AA38" s="51"/>
      <c r="AB38" s="57"/>
      <c r="AC38" s="14" t="str">
        <f t="shared" ref="AC38:AG38" si="71">IF(V38="","", LOOKUP(V38, $D$164:$D$227, E$164:E$227))</f>
        <v/>
      </c>
      <c r="AD38" s="14" t="str">
        <f t="shared" si="71"/>
        <v/>
      </c>
      <c r="AE38" s="14" t="str">
        <f t="shared" si="71"/>
        <v/>
      </c>
      <c r="AF38" s="14" t="str">
        <f t="shared" si="71"/>
        <v/>
      </c>
      <c r="AG38" s="14" t="str">
        <f t="shared" si="71"/>
        <v/>
      </c>
      <c r="AH38" s="14" t="str">
        <f t="shared" si="72"/>
        <v/>
      </c>
      <c r="AI38" s="14" t="str">
        <f t="shared" si="73"/>
        <v/>
      </c>
      <c r="AJ38" s="14"/>
      <c r="AK38" s="14" t="str">
        <f t="shared" ref="AK38:AK40" si="78">IF(AI38="", "", IF(AI39="", AI38-AB38-1-AI40, AI38-AB38-1-AI39))</f>
        <v/>
      </c>
      <c r="AL38" s="14"/>
      <c r="AM38" s="14"/>
      <c r="AN38" s="14"/>
      <c r="AO38" s="14"/>
      <c r="AP38" s="14"/>
    </row>
    <row r="39" ht="14.25" customHeight="1">
      <c r="A39" s="57" t="s">
        <v>33</v>
      </c>
      <c r="B39" s="51"/>
      <c r="C39" s="51"/>
      <c r="D39" s="57"/>
      <c r="E39" s="57"/>
      <c r="F39" s="57"/>
      <c r="G39" s="57"/>
      <c r="H39" s="51"/>
      <c r="I39" s="57"/>
      <c r="J39" s="14" t="str">
        <f t="shared" ref="J39:N39" si="74">IF(C39="","", LOOKUP(C39, $D$164:$D$227, E$164:E$227))</f>
        <v/>
      </c>
      <c r="K39" s="14" t="str">
        <f t="shared" si="74"/>
        <v/>
      </c>
      <c r="L39" s="14" t="str">
        <f t="shared" si="74"/>
        <v/>
      </c>
      <c r="M39" s="14" t="str">
        <f t="shared" si="74"/>
        <v/>
      </c>
      <c r="N39" s="14" t="str">
        <f t="shared" si="74"/>
        <v/>
      </c>
      <c r="O39" s="14" t="str">
        <f t="shared" si="75"/>
        <v/>
      </c>
      <c r="P39" s="14" t="str">
        <f t="shared" si="76"/>
        <v/>
      </c>
      <c r="Q39" s="14"/>
      <c r="R39" s="14" t="str">
        <f t="shared" ref="R39:R41" si="80">IF(P39="", "", IF(P40="", P39-I39-1-P41, P39-I39-1-P40))</f>
        <v/>
      </c>
      <c r="S39" s="14"/>
      <c r="U39" s="51"/>
      <c r="V39" s="57"/>
      <c r="W39" s="57">
        <v>217.0</v>
      </c>
      <c r="X39" s="57"/>
      <c r="Y39" s="57"/>
      <c r="Z39" s="57"/>
      <c r="AA39" s="51"/>
      <c r="AB39" s="57"/>
      <c r="AC39" s="14" t="str">
        <f t="shared" ref="AC39:AG39" si="77">IF(V39="","", LOOKUP(V39, $D$164:$D$227, E$164:E$227))</f>
        <v/>
      </c>
      <c r="AD39" s="14">
        <f t="shared" si="77"/>
        <v>3.26</v>
      </c>
      <c r="AE39" s="14" t="str">
        <f t="shared" si="77"/>
        <v/>
      </c>
      <c r="AF39" s="14" t="str">
        <f t="shared" si="77"/>
        <v/>
      </c>
      <c r="AG39" s="14" t="str">
        <f t="shared" si="77"/>
        <v/>
      </c>
      <c r="AH39" s="14" t="str">
        <f t="shared" si="72"/>
        <v/>
      </c>
      <c r="AI39" s="14">
        <f t="shared" si="73"/>
        <v>3.26</v>
      </c>
      <c r="AJ39" s="14"/>
      <c r="AK39" s="14">
        <f t="shared" si="78"/>
        <v>0.2</v>
      </c>
      <c r="AL39" s="14"/>
      <c r="AM39" s="14"/>
      <c r="AN39" s="14"/>
      <c r="AO39" s="14"/>
      <c r="AP39" s="14"/>
    </row>
    <row r="40" ht="14.25" customHeight="1">
      <c r="B40" s="51"/>
      <c r="C40" s="57">
        <v>176.0</v>
      </c>
      <c r="D40" s="57"/>
      <c r="E40" s="57"/>
      <c r="F40" s="57"/>
      <c r="G40" s="57"/>
      <c r="H40" s="51"/>
      <c r="I40" s="57"/>
      <c r="J40" s="14">
        <f t="shared" ref="J40:N40" si="79">IF(C40="","", LOOKUP(C40, $D$164:$D$227, E$164:E$227))</f>
        <v>3.04</v>
      </c>
      <c r="K40" s="14" t="str">
        <f t="shared" si="79"/>
        <v/>
      </c>
      <c r="L40" s="14" t="str">
        <f t="shared" si="79"/>
        <v/>
      </c>
      <c r="M40" s="14" t="str">
        <f t="shared" si="79"/>
        <v/>
      </c>
      <c r="N40" s="14" t="str">
        <f t="shared" si="79"/>
        <v/>
      </c>
      <c r="O40" s="14" t="str">
        <f t="shared" si="75"/>
        <v/>
      </c>
      <c r="P40" s="14">
        <f t="shared" si="76"/>
        <v>3.04</v>
      </c>
      <c r="Q40" s="14"/>
      <c r="R40" s="77">
        <f t="shared" si="80"/>
        <v>0.54</v>
      </c>
      <c r="S40" s="14"/>
      <c r="T40" s="58" t="s">
        <v>35</v>
      </c>
      <c r="U40" s="51"/>
      <c r="V40" s="51"/>
      <c r="W40" s="58"/>
      <c r="X40" s="58"/>
      <c r="Y40" s="58"/>
      <c r="Z40" s="51"/>
      <c r="AA40" s="51"/>
      <c r="AB40" s="58"/>
      <c r="AC40" s="14" t="str">
        <f t="shared" ref="AC40:AG40" si="81">IF(V40="","", LOOKUP(V40, $D$164:$D$227, E$164:E$227))</f>
        <v/>
      </c>
      <c r="AD40" s="14" t="str">
        <f t="shared" si="81"/>
        <v/>
      </c>
      <c r="AE40" s="14" t="str">
        <f t="shared" si="81"/>
        <v/>
      </c>
      <c r="AF40" s="14" t="str">
        <f t="shared" si="81"/>
        <v/>
      </c>
      <c r="AG40" s="14" t="str">
        <f t="shared" si="81"/>
        <v/>
      </c>
      <c r="AH40" s="14" t="str">
        <f t="shared" si="72"/>
        <v/>
      </c>
      <c r="AI40" s="14" t="str">
        <f t="shared" si="73"/>
        <v/>
      </c>
      <c r="AJ40" s="14"/>
      <c r="AK40" s="14" t="str">
        <f t="shared" si="78"/>
        <v/>
      </c>
      <c r="AL40" s="14"/>
      <c r="AM40" s="14"/>
      <c r="AN40" s="14"/>
      <c r="AO40" s="14"/>
      <c r="AP40" s="14"/>
    </row>
    <row r="41" ht="14.25" customHeight="1">
      <c r="A41" s="58" t="s">
        <v>35</v>
      </c>
      <c r="B41" s="51"/>
      <c r="C41" s="51"/>
      <c r="D41" s="58"/>
      <c r="E41" s="58"/>
      <c r="F41" s="58"/>
      <c r="G41" s="51"/>
      <c r="H41" s="51"/>
      <c r="I41" s="58"/>
      <c r="J41" s="14" t="str">
        <f t="shared" ref="J41:N41" si="82">IF(C41="","", LOOKUP(C41, $D$164:$D$227, E$164:E$227))</f>
        <v/>
      </c>
      <c r="K41" s="14" t="str">
        <f t="shared" si="82"/>
        <v/>
      </c>
      <c r="L41" s="14" t="str">
        <f t="shared" si="82"/>
        <v/>
      </c>
      <c r="M41" s="14" t="str">
        <f t="shared" si="82"/>
        <v/>
      </c>
      <c r="N41" s="14" t="str">
        <f t="shared" si="82"/>
        <v/>
      </c>
      <c r="O41" s="14" t="str">
        <f t="shared" si="75"/>
        <v/>
      </c>
      <c r="P41" s="14" t="str">
        <f t="shared" si="76"/>
        <v/>
      </c>
      <c r="Q41" s="14"/>
      <c r="R41" s="14" t="str">
        <f t="shared" si="80"/>
        <v/>
      </c>
      <c r="S41" s="14"/>
      <c r="T41" s="59" t="s">
        <v>22</v>
      </c>
      <c r="U41" s="51"/>
      <c r="V41" s="51"/>
      <c r="W41" s="51"/>
      <c r="X41" s="51"/>
      <c r="Y41" s="51"/>
      <c r="Z41" s="51"/>
      <c r="AA41" s="59">
        <v>42.0</v>
      </c>
      <c r="AB41" s="60"/>
      <c r="AC41" s="14" t="str">
        <f t="shared" ref="AC41:AG41" si="83">IF(V41="","", LOOKUP(V41, $D$164:$D$227, E$164:E$227))</f>
        <v/>
      </c>
      <c r="AD41" s="14" t="str">
        <f t="shared" si="83"/>
        <v/>
      </c>
      <c r="AE41" s="14" t="str">
        <f t="shared" si="83"/>
        <v/>
      </c>
      <c r="AF41" s="14" t="str">
        <f t="shared" si="83"/>
        <v/>
      </c>
      <c r="AG41" s="14" t="str">
        <f t="shared" si="83"/>
        <v/>
      </c>
      <c r="AH41" s="14">
        <f t="shared" si="72"/>
        <v>2.06</v>
      </c>
      <c r="AI41" s="14">
        <f t="shared" si="73"/>
        <v>2.06</v>
      </c>
      <c r="AJ41" s="14"/>
      <c r="AK41" s="14">
        <f t="shared" ref="AK41:AK42" si="86">IF(AI41="", "", AI41-AB41-1-AI42)</f>
        <v>0.02</v>
      </c>
      <c r="AL41" s="14"/>
      <c r="AM41" s="14"/>
      <c r="AN41" s="14"/>
      <c r="AO41" s="14"/>
      <c r="AP41" s="14"/>
    </row>
    <row r="42" ht="14.25" customHeight="1">
      <c r="A42" s="59" t="s">
        <v>22</v>
      </c>
      <c r="B42" s="51"/>
      <c r="C42" s="51"/>
      <c r="D42" s="51"/>
      <c r="E42" s="51"/>
      <c r="F42" s="51"/>
      <c r="G42" s="51"/>
      <c r="H42" s="59">
        <v>9.0</v>
      </c>
      <c r="I42" s="60"/>
      <c r="J42" s="14" t="str">
        <f t="shared" ref="J42:N42" si="84">IF(C42="","", LOOKUP(C42, $D$164:$D$227, E$164:E$227))</f>
        <v/>
      </c>
      <c r="K42" s="14" t="str">
        <f t="shared" si="84"/>
        <v/>
      </c>
      <c r="L42" s="14" t="str">
        <f t="shared" si="84"/>
        <v/>
      </c>
      <c r="M42" s="14" t="str">
        <f t="shared" si="84"/>
        <v/>
      </c>
      <c r="N42" s="14" t="str">
        <f t="shared" si="84"/>
        <v/>
      </c>
      <c r="O42" s="67">
        <f t="shared" si="75"/>
        <v>1.5</v>
      </c>
      <c r="P42" s="14">
        <f t="shared" si="76"/>
        <v>1.5</v>
      </c>
      <c r="Q42" s="14"/>
      <c r="R42" s="75">
        <f t="shared" ref="R42:R43" si="88">IF(P42="", "", P42-I42-1-P43)</f>
        <v>-0.5</v>
      </c>
      <c r="S42" s="14"/>
      <c r="T42" s="14"/>
      <c r="U42" s="51"/>
      <c r="V42" s="51"/>
      <c r="W42" s="51"/>
      <c r="X42" s="51"/>
      <c r="Y42" s="51"/>
      <c r="Z42" s="51"/>
      <c r="AA42" s="60">
        <v>2.0</v>
      </c>
      <c r="AB42" s="60"/>
      <c r="AC42" s="14" t="str">
        <f t="shared" ref="AC42:AG42" si="85">IF(V42="","", LOOKUP(V42, $D$164:$D$227, E$164:E$227))</f>
        <v/>
      </c>
      <c r="AD42" s="14" t="str">
        <f t="shared" si="85"/>
        <v/>
      </c>
      <c r="AE42" s="14" t="str">
        <f t="shared" si="85"/>
        <v/>
      </c>
      <c r="AF42" s="14" t="str">
        <f t="shared" si="85"/>
        <v/>
      </c>
      <c r="AG42" s="14" t="str">
        <f t="shared" si="85"/>
        <v/>
      </c>
      <c r="AH42" s="14">
        <f t="shared" si="72"/>
        <v>1.04</v>
      </c>
      <c r="AI42" s="14">
        <f t="shared" si="73"/>
        <v>1.04</v>
      </c>
      <c r="AJ42" s="14"/>
      <c r="AK42" s="14">
        <f t="shared" si="86"/>
        <v>0.04</v>
      </c>
      <c r="AL42" s="14"/>
      <c r="AM42" s="14"/>
      <c r="AN42" s="14"/>
      <c r="AO42" s="14"/>
      <c r="AP42" s="14"/>
    </row>
    <row r="43" ht="14.25" customHeight="1">
      <c r="A43" s="14"/>
      <c r="B43" s="51"/>
      <c r="C43" s="51"/>
      <c r="D43" s="51"/>
      <c r="E43" s="51"/>
      <c r="F43" s="51"/>
      <c r="G43" s="51"/>
      <c r="H43" s="60">
        <v>1.0</v>
      </c>
      <c r="I43" s="60"/>
      <c r="J43" s="14" t="str">
        <f t="shared" ref="J43:N43" si="87">IF(C43="","", LOOKUP(C43, $D$164:$D$227, E$164:E$227))</f>
        <v/>
      </c>
      <c r="K43" s="14" t="str">
        <f t="shared" si="87"/>
        <v/>
      </c>
      <c r="L43" s="14" t="str">
        <f t="shared" si="87"/>
        <v/>
      </c>
      <c r="M43" s="14" t="str">
        <f t="shared" si="87"/>
        <v/>
      </c>
      <c r="N43" s="14" t="str">
        <f t="shared" si="87"/>
        <v/>
      </c>
      <c r="O43" s="14">
        <f t="shared" si="75"/>
        <v>1</v>
      </c>
      <c r="P43" s="14">
        <f t="shared" si="76"/>
        <v>1</v>
      </c>
      <c r="Q43" s="14"/>
      <c r="R43" s="14">
        <f t="shared" si="88"/>
        <v>0</v>
      </c>
      <c r="S43" s="14"/>
      <c r="T43" s="14"/>
      <c r="U43" s="14"/>
      <c r="V43" s="14" t="s">
        <v>12</v>
      </c>
      <c r="W43" s="14" t="s">
        <v>13</v>
      </c>
      <c r="X43" s="14" t="s">
        <v>14</v>
      </c>
      <c r="Y43" s="14" t="s">
        <v>15</v>
      </c>
      <c r="Z43" s="14" t="s">
        <v>16</v>
      </c>
      <c r="AA43" s="14" t="s">
        <v>17</v>
      </c>
      <c r="AB43" s="14" t="s">
        <v>18</v>
      </c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</row>
    <row r="44" ht="14.25" customHeight="1">
      <c r="A44" s="14"/>
      <c r="B44" s="14"/>
      <c r="C44" s="14" t="s">
        <v>12</v>
      </c>
      <c r="D44" s="14" t="s">
        <v>13</v>
      </c>
      <c r="E44" s="14" t="s">
        <v>14</v>
      </c>
      <c r="F44" s="14" t="s">
        <v>15</v>
      </c>
      <c r="G44" s="14" t="s">
        <v>16</v>
      </c>
      <c r="H44" s="14" t="s">
        <v>17</v>
      </c>
      <c r="I44" s="14" t="s">
        <v>18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53" t="s">
        <v>19</v>
      </c>
      <c r="U44" s="73">
        <v>14.0</v>
      </c>
      <c r="V44" s="74"/>
      <c r="W44" s="51"/>
      <c r="X44" s="51"/>
      <c r="Y44" s="51"/>
      <c r="Z44" s="51"/>
      <c r="AA44" s="51"/>
      <c r="AB44" s="53"/>
      <c r="AC44" s="14" t="str">
        <f t="shared" ref="AC44:AG44" si="89">IF(V44="","", LOOKUP(V44, $D$164:$D$227, E$164:E$227))</f>
        <v/>
      </c>
      <c r="AD44" s="14" t="str">
        <f t="shared" si="89"/>
        <v/>
      </c>
      <c r="AE44" s="14" t="str">
        <f t="shared" si="89"/>
        <v/>
      </c>
      <c r="AF44" s="14" t="str">
        <f t="shared" si="89"/>
        <v/>
      </c>
      <c r="AG44" s="14" t="str">
        <f t="shared" si="89"/>
        <v/>
      </c>
      <c r="AH44" s="14" t="str">
        <f t="shared" ref="AH44:AH49" si="92">if(AA44=1, 1, IF(AA44="", "", If(AA44&gt;$K$216, $L$216, if(AA44&gt;$K$215, $L$215, if(AA44&gt;$K$214, $L$214, if(AA44&gt;$K$213, $L$213, if(AA44&gt;$K$212, $L$212, if(AA44&gt;$K$210, $L$210, if(AA44&gt;$K$208, $L$208, if(AA44&gt;$K$206, $L$206, if(AA44&gt;$K$204, $L$204, if(AA44&gt;$K$202, $L$202, if(AA44&gt;$K$198, $L$198, if(AA44&gt;$K$194, $L$194, if(AA44&gt;$K$190, $L$190, if(AA44&gt;$K$186, $L$186, if(AA44&gt;$K$182, $L$182, $L$182)))))))))))))))))</f>
        <v/>
      </c>
      <c r="AI44" s="14" t="str">
        <f t="shared" ref="AI44:AI49" si="93">IF(SUM(AC44:AH44)=0, "", SUM(AC44:AH44))</f>
        <v/>
      </c>
      <c r="AJ44" s="14"/>
      <c r="AK44" s="14" t="str">
        <f>IF(AI44="", "", IF(AI45="", IF(AI46="",AI44-AB44-1-AI47, AI44-AB44-1-AI46), AI44-AB44-1-AI45))</f>
        <v/>
      </c>
      <c r="AL44" s="14"/>
      <c r="AM44" s="14"/>
      <c r="AN44" s="14"/>
      <c r="AO44" s="14"/>
      <c r="AP44" s="14"/>
    </row>
    <row r="45" ht="14.25" customHeight="1">
      <c r="A45" s="53" t="s">
        <v>19</v>
      </c>
      <c r="B45" s="73">
        <v>5.0</v>
      </c>
      <c r="C45" s="74">
        <v>520.0</v>
      </c>
      <c r="D45" s="51"/>
      <c r="E45" s="51"/>
      <c r="F45" s="51"/>
      <c r="G45" s="51"/>
      <c r="H45" s="51"/>
      <c r="I45" s="53"/>
      <c r="J45" s="14">
        <f t="shared" ref="J45:N45" si="90">IF(C45="","", LOOKUP(C45, $D$164:$D$227, E$164:E$227))</f>
        <v>4.54</v>
      </c>
      <c r="K45" s="14" t="str">
        <f t="shared" si="90"/>
        <v/>
      </c>
      <c r="L45" s="14" t="str">
        <f t="shared" si="90"/>
        <v/>
      </c>
      <c r="M45" s="14" t="str">
        <f t="shared" si="90"/>
        <v/>
      </c>
      <c r="N45" s="14" t="str">
        <f t="shared" si="90"/>
        <v/>
      </c>
      <c r="O45" s="14" t="str">
        <f t="shared" ref="O45:O50" si="95">if(H45=1, 1, IF(H45="", "", If(H45&gt;$K$216, $L$216, if(H45&gt;$K$215, $L$215, if(H45&gt;$K$214, $L$214, if(H45&gt;$K$213, $L$213, if(H45&gt;$K$212, $L$212, if(H45&gt;$K$210, $L$210, if(H45&gt;$K$208, $L$208, if(H45&gt;$K$206, $L$206, if(H45&gt;$K$204, $L$204, if(H45&gt;$K$202, $L$202, if(H45&gt;$K$198, $L$198, if(H45&gt;$K$194, $L$194, if(H45&gt;$K$190, $L$190, if(H45&gt;$K$186, $L$186, if(H45&gt;$K$182, $L$182, $L$182)))))))))))))))))</f>
        <v/>
      </c>
      <c r="P45" s="14">
        <f t="shared" ref="P45:P50" si="96">IF(SUM(J45:O45)=0, "", SUM(J45:O45))</f>
        <v>4.54</v>
      </c>
      <c r="Q45" s="14"/>
      <c r="R45" s="14">
        <f>IF(P45="", "", IF(P46="", IF(P47="",P45-I45-1-P48, P45-I45-1-P47), P45-I45-1-P46))</f>
        <v>0.41</v>
      </c>
      <c r="S45" s="14"/>
      <c r="T45" s="57" t="s">
        <v>33</v>
      </c>
      <c r="U45" s="51"/>
      <c r="V45" s="51"/>
      <c r="W45" s="57"/>
      <c r="X45" s="57"/>
      <c r="Y45" s="57"/>
      <c r="Z45" s="57"/>
      <c r="AA45" s="51"/>
      <c r="AB45" s="57"/>
      <c r="AC45" s="14" t="str">
        <f t="shared" ref="AC45:AG45" si="91">IF(V45="","", LOOKUP(V45, $D$164:$D$227, E$164:E$227))</f>
        <v/>
      </c>
      <c r="AD45" s="14" t="str">
        <f t="shared" si="91"/>
        <v/>
      </c>
      <c r="AE45" s="14" t="str">
        <f t="shared" si="91"/>
        <v/>
      </c>
      <c r="AF45" s="14" t="str">
        <f t="shared" si="91"/>
        <v/>
      </c>
      <c r="AG45" s="14" t="str">
        <f t="shared" si="91"/>
        <v/>
      </c>
      <c r="AH45" s="14" t="str">
        <f t="shared" si="92"/>
        <v/>
      </c>
      <c r="AI45" s="14" t="str">
        <f t="shared" si="93"/>
        <v/>
      </c>
      <c r="AJ45" s="14"/>
      <c r="AK45" s="14" t="str">
        <f t="shared" ref="AK45:AK47" si="98">IF(AI45="", "", IF(AI46="", AI45-AB45-1-AI47, AI45-AB45-1-AI46))</f>
        <v/>
      </c>
      <c r="AL45" s="14"/>
      <c r="AM45" s="14"/>
      <c r="AN45" s="14"/>
      <c r="AO45" s="14"/>
      <c r="AP45" s="14"/>
    </row>
    <row r="46" ht="14.25" customHeight="1">
      <c r="A46" s="57" t="s">
        <v>33</v>
      </c>
      <c r="B46" s="51"/>
      <c r="C46" s="51"/>
      <c r="D46" s="57"/>
      <c r="E46" s="57"/>
      <c r="F46" s="57"/>
      <c r="G46" s="57"/>
      <c r="H46" s="51"/>
      <c r="I46" s="57"/>
      <c r="J46" s="14" t="str">
        <f t="shared" ref="J46:N46" si="94">IF(C46="","", LOOKUP(C46, $D$164:$D$227, E$164:E$227))</f>
        <v/>
      </c>
      <c r="K46" s="14" t="str">
        <f t="shared" si="94"/>
        <v/>
      </c>
      <c r="L46" s="14" t="str">
        <f t="shared" si="94"/>
        <v/>
      </c>
      <c r="M46" s="14" t="str">
        <f t="shared" si="94"/>
        <v/>
      </c>
      <c r="N46" s="14" t="str">
        <f t="shared" si="94"/>
        <v/>
      </c>
      <c r="O46" s="14" t="str">
        <f t="shared" si="95"/>
        <v/>
      </c>
      <c r="P46" s="14" t="str">
        <f t="shared" si="96"/>
        <v/>
      </c>
      <c r="Q46" s="14"/>
      <c r="R46" s="14" t="str">
        <f t="shared" ref="R46:R48" si="100">IF(P46="", "", IF(P47="", P46-I46-1-P48, P46-I46-1-P47))</f>
        <v/>
      </c>
      <c r="S46" s="14"/>
      <c r="U46" s="51"/>
      <c r="V46" s="57">
        <v>212.0</v>
      </c>
      <c r="W46" s="57"/>
      <c r="X46" s="57"/>
      <c r="Y46" s="57"/>
      <c r="Z46" s="57"/>
      <c r="AA46" s="51"/>
      <c r="AB46" s="57"/>
      <c r="AC46" s="14">
        <f t="shared" ref="AC46:AG46" si="97">IF(V46="","", LOOKUP(V46, $D$164:$D$227, E$164:E$227))</f>
        <v>3.14</v>
      </c>
      <c r="AD46" s="14" t="str">
        <f t="shared" si="97"/>
        <v/>
      </c>
      <c r="AE46" s="14" t="str">
        <f t="shared" si="97"/>
        <v/>
      </c>
      <c r="AF46" s="14" t="str">
        <f t="shared" si="97"/>
        <v/>
      </c>
      <c r="AG46" s="14" t="str">
        <f t="shared" si="97"/>
        <v/>
      </c>
      <c r="AH46" s="14" t="str">
        <f t="shared" si="92"/>
        <v/>
      </c>
      <c r="AI46" s="14">
        <f t="shared" si="93"/>
        <v>3.14</v>
      </c>
      <c r="AJ46" s="14"/>
      <c r="AK46" s="14">
        <f t="shared" si="98"/>
        <v>0.27</v>
      </c>
      <c r="AL46" s="14"/>
      <c r="AM46" s="14"/>
      <c r="AN46" s="14"/>
      <c r="AO46" s="14"/>
      <c r="AP46" s="14"/>
    </row>
    <row r="47" ht="14.25" customHeight="1">
      <c r="B47" s="51"/>
      <c r="C47" s="57"/>
      <c r="D47" s="57">
        <v>192.0</v>
      </c>
      <c r="E47" s="57"/>
      <c r="F47" s="57"/>
      <c r="G47" s="57"/>
      <c r="H47" s="51"/>
      <c r="I47" s="57"/>
      <c r="J47" s="14" t="str">
        <f t="shared" ref="J47:N47" si="99">IF(C47="","", LOOKUP(C47, $D$164:$D$227, E$164:E$227))</f>
        <v/>
      </c>
      <c r="K47" s="14">
        <f t="shared" si="99"/>
        <v>3.13</v>
      </c>
      <c r="L47" s="14" t="str">
        <f t="shared" si="99"/>
        <v/>
      </c>
      <c r="M47" s="14" t="str">
        <f t="shared" si="99"/>
        <v/>
      </c>
      <c r="N47" s="14" t="str">
        <f t="shared" si="99"/>
        <v/>
      </c>
      <c r="O47" s="14" t="str">
        <f t="shared" si="95"/>
        <v/>
      </c>
      <c r="P47" s="14">
        <f t="shared" si="96"/>
        <v>3.13</v>
      </c>
      <c r="Q47" s="14"/>
      <c r="R47" s="75">
        <f t="shared" si="100"/>
        <v>-0.41</v>
      </c>
      <c r="S47" s="14"/>
      <c r="T47" s="58" t="s">
        <v>35</v>
      </c>
      <c r="U47" s="51"/>
      <c r="V47" s="51"/>
      <c r="W47" s="58"/>
      <c r="X47" s="58"/>
      <c r="Y47" s="58"/>
      <c r="Z47" s="51"/>
      <c r="AA47" s="51"/>
      <c r="AB47" s="58"/>
      <c r="AC47" s="14" t="str">
        <f t="shared" ref="AC47:AG47" si="101">IF(V47="","", LOOKUP(V47, $D$164:$D$227, E$164:E$227))</f>
        <v/>
      </c>
      <c r="AD47" s="14" t="str">
        <f t="shared" si="101"/>
        <v/>
      </c>
      <c r="AE47" s="14" t="str">
        <f t="shared" si="101"/>
        <v/>
      </c>
      <c r="AF47" s="14" t="str">
        <f t="shared" si="101"/>
        <v/>
      </c>
      <c r="AG47" s="14" t="str">
        <f t="shared" si="101"/>
        <v/>
      </c>
      <c r="AH47" s="14" t="str">
        <f t="shared" si="92"/>
        <v/>
      </c>
      <c r="AI47" s="14" t="str">
        <f t="shared" si="93"/>
        <v/>
      </c>
      <c r="AJ47" s="14"/>
      <c r="AK47" s="14" t="str">
        <f t="shared" si="98"/>
        <v/>
      </c>
      <c r="AL47" s="14"/>
      <c r="AM47" s="14"/>
      <c r="AN47" s="14"/>
      <c r="AO47" s="14"/>
      <c r="AP47" s="14"/>
    </row>
    <row r="48" ht="14.25" customHeight="1">
      <c r="A48" s="58" t="s">
        <v>35</v>
      </c>
      <c r="B48" s="51"/>
      <c r="C48" s="51"/>
      <c r="D48" s="58"/>
      <c r="E48" s="58">
        <v>18.0</v>
      </c>
      <c r="F48" s="58"/>
      <c r="G48" s="51"/>
      <c r="H48" s="51"/>
      <c r="I48" s="58"/>
      <c r="J48" s="14" t="str">
        <f t="shared" ref="J48:N48" si="102">IF(C48="","", LOOKUP(C48, $D$164:$D$227, E$164:E$227))</f>
        <v/>
      </c>
      <c r="K48" s="14" t="str">
        <f t="shared" si="102"/>
        <v/>
      </c>
      <c r="L48" s="14">
        <f t="shared" si="102"/>
        <v>2.54</v>
      </c>
      <c r="M48" s="14" t="str">
        <f t="shared" si="102"/>
        <v/>
      </c>
      <c r="N48" s="14" t="str">
        <f t="shared" si="102"/>
        <v/>
      </c>
      <c r="O48" s="14" t="str">
        <f t="shared" si="95"/>
        <v/>
      </c>
      <c r="P48" s="14">
        <f t="shared" si="96"/>
        <v>2.54</v>
      </c>
      <c r="Q48" s="14"/>
      <c r="R48" s="75">
        <f t="shared" si="100"/>
        <v>-0.44</v>
      </c>
      <c r="S48" s="14"/>
      <c r="T48" s="59" t="s">
        <v>22</v>
      </c>
      <c r="U48" s="51"/>
      <c r="V48" s="51"/>
      <c r="W48" s="51"/>
      <c r="X48" s="51"/>
      <c r="Y48" s="51"/>
      <c r="Z48" s="51"/>
      <c r="AA48" s="59">
        <v>27.0</v>
      </c>
      <c r="AB48" s="60"/>
      <c r="AC48" s="14" t="str">
        <f t="shared" ref="AC48:AG48" si="103">IF(V48="","", LOOKUP(V48, $D$164:$D$227, E$164:E$227))</f>
        <v/>
      </c>
      <c r="AD48" s="14" t="str">
        <f t="shared" si="103"/>
        <v/>
      </c>
      <c r="AE48" s="14" t="str">
        <f t="shared" si="103"/>
        <v/>
      </c>
      <c r="AF48" s="14" t="str">
        <f t="shared" si="103"/>
        <v/>
      </c>
      <c r="AG48" s="14" t="str">
        <f t="shared" si="103"/>
        <v/>
      </c>
      <c r="AH48" s="14">
        <f t="shared" si="92"/>
        <v>1.87</v>
      </c>
      <c r="AI48" s="14">
        <f t="shared" si="93"/>
        <v>1.87</v>
      </c>
      <c r="AJ48" s="14"/>
      <c r="AK48" s="14">
        <f t="shared" ref="AK48:AK49" si="106">IF(AI48="", "", AI48-AB48-1-AI49)</f>
        <v>-0.17</v>
      </c>
      <c r="AL48" s="14"/>
      <c r="AM48" s="14"/>
      <c r="AN48" s="14"/>
      <c r="AO48" s="14"/>
      <c r="AP48" s="14"/>
    </row>
    <row r="49" ht="14.25" customHeight="1">
      <c r="A49" s="59" t="s">
        <v>22</v>
      </c>
      <c r="B49" s="51"/>
      <c r="C49" s="51"/>
      <c r="D49" s="51"/>
      <c r="E49" s="51"/>
      <c r="F49" s="51"/>
      <c r="G49" s="51"/>
      <c r="H49" s="59">
        <v>39.0</v>
      </c>
      <c r="I49" s="60"/>
      <c r="J49" s="14" t="str">
        <f t="shared" ref="J49:N49" si="104">IF(C49="","", LOOKUP(C49, $D$164:$D$227, E$164:E$227))</f>
        <v/>
      </c>
      <c r="K49" s="14" t="str">
        <f t="shared" si="104"/>
        <v/>
      </c>
      <c r="L49" s="14" t="str">
        <f t="shared" si="104"/>
        <v/>
      </c>
      <c r="M49" s="14" t="str">
        <f t="shared" si="104"/>
        <v/>
      </c>
      <c r="N49" s="14" t="str">
        <f t="shared" si="104"/>
        <v/>
      </c>
      <c r="O49" s="14">
        <f t="shared" si="95"/>
        <v>1.98</v>
      </c>
      <c r="P49" s="14">
        <f t="shared" si="96"/>
        <v>1.98</v>
      </c>
      <c r="Q49" s="14"/>
      <c r="R49" s="14">
        <f t="shared" ref="R49:R50" si="108">IF(P49="", "", P49-I49-1-P50)</f>
        <v>-0.06</v>
      </c>
      <c r="S49" s="14"/>
      <c r="T49" s="14"/>
      <c r="U49" s="51"/>
      <c r="V49" s="51"/>
      <c r="W49" s="51"/>
      <c r="X49" s="51"/>
      <c r="Y49" s="51"/>
      <c r="Z49" s="51"/>
      <c r="AA49" s="60">
        <v>3.0</v>
      </c>
      <c r="AB49" s="60"/>
      <c r="AC49" s="14" t="str">
        <f t="shared" ref="AC49:AG49" si="105">IF(V49="","", LOOKUP(V49, $D$164:$D$227, E$164:E$227))</f>
        <v/>
      </c>
      <c r="AD49" s="14" t="str">
        <f t="shared" si="105"/>
        <v/>
      </c>
      <c r="AE49" s="14" t="str">
        <f t="shared" si="105"/>
        <v/>
      </c>
      <c r="AF49" s="14" t="str">
        <f t="shared" si="105"/>
        <v/>
      </c>
      <c r="AG49" s="14" t="str">
        <f t="shared" si="105"/>
        <v/>
      </c>
      <c r="AH49" s="14">
        <f t="shared" si="92"/>
        <v>1.04</v>
      </c>
      <c r="AI49" s="14">
        <f t="shared" si="93"/>
        <v>1.04</v>
      </c>
      <c r="AJ49" s="14"/>
      <c r="AK49" s="14">
        <f t="shared" si="106"/>
        <v>0.04</v>
      </c>
      <c r="AL49" s="14"/>
      <c r="AM49" s="14"/>
      <c r="AN49" s="14"/>
      <c r="AO49" s="14"/>
      <c r="AP49" s="14"/>
    </row>
    <row r="50" ht="14.25" customHeight="1">
      <c r="A50" s="14"/>
      <c r="B50" s="51"/>
      <c r="C50" s="51"/>
      <c r="D50" s="51"/>
      <c r="E50" s="51"/>
      <c r="F50" s="51"/>
      <c r="G50" s="51"/>
      <c r="H50" s="60">
        <v>3.0</v>
      </c>
      <c r="I50" s="60"/>
      <c r="J50" s="14" t="str">
        <f t="shared" ref="J50:N50" si="107">IF(C50="","", LOOKUP(C50, $D$164:$D$227, E$164:E$227))</f>
        <v/>
      </c>
      <c r="K50" s="14" t="str">
        <f t="shared" si="107"/>
        <v/>
      </c>
      <c r="L50" s="14" t="str">
        <f t="shared" si="107"/>
        <v/>
      </c>
      <c r="M50" s="14" t="str">
        <f t="shared" si="107"/>
        <v/>
      </c>
      <c r="N50" s="14" t="str">
        <f t="shared" si="107"/>
        <v/>
      </c>
      <c r="O50" s="14">
        <f t="shared" si="95"/>
        <v>1.04</v>
      </c>
      <c r="P50" s="14">
        <f t="shared" si="96"/>
        <v>1.04</v>
      </c>
      <c r="Q50" s="14"/>
      <c r="R50" s="14">
        <f t="shared" si="108"/>
        <v>0.04</v>
      </c>
      <c r="S50" s="14"/>
      <c r="T50" s="14"/>
      <c r="U50" s="14"/>
      <c r="V50" s="14" t="s">
        <v>12</v>
      </c>
      <c r="W50" s="14" t="s">
        <v>13</v>
      </c>
      <c r="X50" s="14" t="s">
        <v>14</v>
      </c>
      <c r="Y50" s="14" t="s">
        <v>15</v>
      </c>
      <c r="Z50" s="14" t="s">
        <v>16</v>
      </c>
      <c r="AA50" s="14" t="s">
        <v>17</v>
      </c>
      <c r="AB50" s="14" t="s">
        <v>18</v>
      </c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</row>
    <row r="51" ht="14.25" customHeight="1">
      <c r="A51" s="14"/>
      <c r="B51" s="14"/>
      <c r="C51" s="14" t="s">
        <v>12</v>
      </c>
      <c r="D51" s="14" t="s">
        <v>13</v>
      </c>
      <c r="E51" s="14" t="s">
        <v>14</v>
      </c>
      <c r="F51" s="14" t="s">
        <v>15</v>
      </c>
      <c r="G51" s="14" t="s">
        <v>16</v>
      </c>
      <c r="H51" s="14" t="s">
        <v>17</v>
      </c>
      <c r="I51" s="14" t="s">
        <v>18</v>
      </c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53" t="s">
        <v>19</v>
      </c>
      <c r="U51" s="73">
        <v>15.0</v>
      </c>
      <c r="V51" s="74">
        <v>413.0</v>
      </c>
      <c r="W51" s="51"/>
      <c r="X51" s="51"/>
      <c r="Y51" s="51"/>
      <c r="Z51" s="51"/>
      <c r="AA51" s="51"/>
      <c r="AB51" s="53"/>
      <c r="AC51" s="14">
        <f t="shared" ref="AC51:AG51" si="109">IF(V51="","", LOOKUP(V51, $D$164:$D$227, E$164:E$227))</f>
        <v>3.99</v>
      </c>
      <c r="AD51" s="14" t="str">
        <f t="shared" si="109"/>
        <v/>
      </c>
      <c r="AE51" s="14" t="str">
        <f t="shared" si="109"/>
        <v/>
      </c>
      <c r="AF51" s="14" t="str">
        <f t="shared" si="109"/>
        <v/>
      </c>
      <c r="AG51" s="14" t="str">
        <f t="shared" si="109"/>
        <v/>
      </c>
      <c r="AH51" s="14" t="str">
        <f t="shared" ref="AH51:AH77" si="112">if(AA51=1, 1, IF(AA51="", "", If(AA51&gt;$K$216, $L$216, if(AA51&gt;$K$215, $L$215, if(AA51&gt;$K$214, $L$214, if(AA51&gt;$K$213, $L$213, if(AA51&gt;$K$212, $L$212, if(AA51&gt;$K$210, $L$210, if(AA51&gt;$K$208, $L$208, if(AA51&gt;$K$206, $L$206, if(AA51&gt;$K$204, $L$204, if(AA51&gt;$K$202, $L$202, if(AA51&gt;$K$198, $L$198, if(AA51&gt;$K$194, $L$194, if(AA51&gt;$K$190, $L$190, if(AA51&gt;$K$186, $L$186, if(AA51&gt;$K$182, $L$182, $L$182)))))))))))))))))</f>
        <v/>
      </c>
      <c r="AI51" s="14">
        <f t="shared" ref="AI51:AI77" si="113">IF(SUM(AC51:AH51)=0, "", SUM(AC51:AH51))</f>
        <v>3.99</v>
      </c>
      <c r="AJ51" s="14"/>
      <c r="AK51" s="14">
        <f>IF(AI51="", "", IF(AI52="", IF(AI53="",AI51-AB51-1-AI54, AI51-AB51-1-AI53), AI51-AB51-1-AI52))</f>
        <v>0.11</v>
      </c>
      <c r="AL51" s="14"/>
      <c r="AM51" s="14"/>
      <c r="AN51" s="14"/>
      <c r="AO51" s="14"/>
      <c r="AP51" s="14"/>
    </row>
    <row r="52" ht="14.25" customHeight="1">
      <c r="A52" s="53" t="s">
        <v>19</v>
      </c>
      <c r="B52" s="73">
        <v>6.0</v>
      </c>
      <c r="C52" s="74">
        <v>441.0</v>
      </c>
      <c r="D52" s="51"/>
      <c r="E52" s="51"/>
      <c r="F52" s="51"/>
      <c r="G52" s="51"/>
      <c r="H52" s="51"/>
      <c r="I52" s="53"/>
      <c r="J52" s="14">
        <f t="shared" ref="J52:N52" si="110">IF(C52="","", LOOKUP(C52, $D$164:$D$227, E$164:E$227))</f>
        <v>4.08</v>
      </c>
      <c r="K52" s="14" t="str">
        <f t="shared" si="110"/>
        <v/>
      </c>
      <c r="L52" s="14" t="str">
        <f t="shared" si="110"/>
        <v/>
      </c>
      <c r="M52" s="14" t="str">
        <f t="shared" si="110"/>
        <v/>
      </c>
      <c r="N52" s="14" t="str">
        <f t="shared" si="110"/>
        <v/>
      </c>
      <c r="O52" s="14" t="str">
        <f t="shared" ref="O52:O57" si="115">if(H52=1, 1, IF(H52="", "", If(H52&gt;$K$216, $L$216, if(H52&gt;$K$215, $L$215, if(H52&gt;$K$214, $L$214, if(H52&gt;$K$213, $L$213, if(H52&gt;$K$212, $L$212, if(H52&gt;$K$210, $L$210, if(H52&gt;$K$208, $L$208, if(H52&gt;$K$206, $L$206, if(H52&gt;$K$204, $L$204, if(H52&gt;$K$202, $L$202, if(H52&gt;$K$198, $L$198, if(H52&gt;$K$194, $L$194, if(H52&gt;$K$190, $L$190, if(H52&gt;$K$186, $L$186, if(H52&gt;$K$182, $L$182, $L$182)))))))))))))))))</f>
        <v/>
      </c>
      <c r="P52" s="14">
        <f t="shared" ref="P52:P57" si="116">IF(SUM(J52:O52)=0, "", SUM(J52:O52))</f>
        <v>4.08</v>
      </c>
      <c r="Q52" s="14"/>
      <c r="R52" s="14">
        <f>IF(P52="", "", IF(P53="", IF(P54="",P52-I52-1-P55, P52-I52-1-P54), P52-I52-1-P53))</f>
        <v>0.25</v>
      </c>
      <c r="S52" s="14"/>
      <c r="T52" s="57" t="s">
        <v>33</v>
      </c>
      <c r="U52" s="51"/>
      <c r="V52" s="51"/>
      <c r="W52" s="57"/>
      <c r="X52" s="57"/>
      <c r="Y52" s="57"/>
      <c r="Z52" s="57"/>
      <c r="AA52" s="51"/>
      <c r="AB52" s="57"/>
      <c r="AC52" s="14" t="str">
        <f t="shared" ref="AC52:AG52" si="111">IF(V52="","", LOOKUP(V52, $D$164:$D$227, E$164:E$227))</f>
        <v/>
      </c>
      <c r="AD52" s="14" t="str">
        <f t="shared" si="111"/>
        <v/>
      </c>
      <c r="AE52" s="14" t="str">
        <f t="shared" si="111"/>
        <v/>
      </c>
      <c r="AF52" s="14" t="str">
        <f t="shared" si="111"/>
        <v/>
      </c>
      <c r="AG52" s="14" t="str">
        <f t="shared" si="111"/>
        <v/>
      </c>
      <c r="AH52" s="14" t="str">
        <f t="shared" si="112"/>
        <v/>
      </c>
      <c r="AI52" s="14" t="str">
        <f t="shared" si="113"/>
        <v/>
      </c>
      <c r="AJ52" s="14"/>
      <c r="AK52" s="14" t="str">
        <f t="shared" ref="AK52:AK54" si="118">IF(AI52="", "", IF(AI53="", AI52-AB52-1-AI54, AI52-AB52-1-AI53))</f>
        <v/>
      </c>
      <c r="AL52" s="14"/>
      <c r="AM52" s="14"/>
      <c r="AN52" s="14"/>
      <c r="AO52" s="14"/>
      <c r="AP52" s="14"/>
    </row>
    <row r="53" ht="14.25" customHeight="1">
      <c r="A53" s="57" t="s">
        <v>33</v>
      </c>
      <c r="B53" s="51"/>
      <c r="C53" s="51"/>
      <c r="D53" s="57"/>
      <c r="E53" s="57"/>
      <c r="F53" s="57"/>
      <c r="G53" s="57"/>
      <c r="H53" s="51"/>
      <c r="I53" s="57"/>
      <c r="J53" s="14" t="str">
        <f t="shared" ref="J53:N53" si="114">IF(C53="","", LOOKUP(C53, $D$164:$D$227, E$164:E$227))</f>
        <v/>
      </c>
      <c r="K53" s="14" t="str">
        <f t="shared" si="114"/>
        <v/>
      </c>
      <c r="L53" s="14" t="str">
        <f t="shared" si="114"/>
        <v/>
      </c>
      <c r="M53" s="14" t="str">
        <f t="shared" si="114"/>
        <v/>
      </c>
      <c r="N53" s="14" t="str">
        <f t="shared" si="114"/>
        <v/>
      </c>
      <c r="O53" s="14" t="str">
        <f t="shared" si="115"/>
        <v/>
      </c>
      <c r="P53" s="14" t="str">
        <f t="shared" si="116"/>
        <v/>
      </c>
      <c r="Q53" s="14"/>
      <c r="R53" s="14" t="str">
        <f t="shared" ref="R53:R55" si="120">IF(P53="", "", IF(P54="", P53-I53-1-P55, P53-I53-1-P54))</f>
        <v/>
      </c>
      <c r="S53" s="14"/>
      <c r="U53" s="51"/>
      <c r="V53" s="57"/>
      <c r="W53" s="57">
        <v>131.0</v>
      </c>
      <c r="X53" s="57"/>
      <c r="Y53" s="57"/>
      <c r="Z53" s="57"/>
      <c r="AA53" s="51"/>
      <c r="AB53" s="57"/>
      <c r="AC53" s="14" t="str">
        <f t="shared" ref="AC53:AG53" si="117">IF(V53="","", LOOKUP(V53, $D$164:$D$227, E$164:E$227))</f>
        <v/>
      </c>
      <c r="AD53" s="14">
        <f t="shared" si="117"/>
        <v>2.88</v>
      </c>
      <c r="AE53" s="14" t="str">
        <f t="shared" si="117"/>
        <v/>
      </c>
      <c r="AF53" s="14" t="str">
        <f t="shared" si="117"/>
        <v/>
      </c>
      <c r="AG53" s="14" t="str">
        <f t="shared" si="117"/>
        <v/>
      </c>
      <c r="AH53" s="14" t="str">
        <f t="shared" si="112"/>
        <v/>
      </c>
      <c r="AI53" s="14">
        <f t="shared" si="113"/>
        <v>2.88</v>
      </c>
      <c r="AJ53" s="14"/>
      <c r="AK53" s="14">
        <f t="shared" si="118"/>
        <v>-0.1</v>
      </c>
      <c r="AL53" s="14"/>
      <c r="AM53" s="14"/>
      <c r="AN53" s="14"/>
      <c r="AO53" s="14"/>
      <c r="AP53" s="14"/>
    </row>
    <row r="54" ht="14.25" customHeight="1">
      <c r="B54" s="51"/>
      <c r="C54" s="57"/>
      <c r="D54" s="57">
        <v>114.0</v>
      </c>
      <c r="E54" s="57"/>
      <c r="F54" s="57"/>
      <c r="G54" s="57"/>
      <c r="H54" s="51"/>
      <c r="I54" s="57"/>
      <c r="J54" s="14" t="str">
        <f t="shared" ref="J54:N54" si="119">IF(C54="","", LOOKUP(C54, $D$164:$D$227, E$164:E$227))</f>
        <v/>
      </c>
      <c r="K54" s="14">
        <f t="shared" si="119"/>
        <v>2.83</v>
      </c>
      <c r="L54" s="14" t="str">
        <f t="shared" si="119"/>
        <v/>
      </c>
      <c r="M54" s="14" t="str">
        <f t="shared" si="119"/>
        <v/>
      </c>
      <c r="N54" s="14" t="str">
        <f t="shared" si="119"/>
        <v/>
      </c>
      <c r="O54" s="14" t="str">
        <f t="shared" si="115"/>
        <v/>
      </c>
      <c r="P54" s="14">
        <f t="shared" si="116"/>
        <v>2.83</v>
      </c>
      <c r="Q54" s="14"/>
      <c r="R54" s="14">
        <f t="shared" si="120"/>
        <v>-0.04</v>
      </c>
      <c r="S54" s="14"/>
      <c r="T54" s="58" t="s">
        <v>35</v>
      </c>
      <c r="U54" s="51"/>
      <c r="V54" s="51"/>
      <c r="W54" s="58"/>
      <c r="X54" s="58"/>
      <c r="Y54" s="58"/>
      <c r="Z54" s="51"/>
      <c r="AA54" s="51"/>
      <c r="AB54" s="58"/>
      <c r="AC54" s="14" t="str">
        <f t="shared" ref="AC54:AG54" si="121">IF(V54="","", LOOKUP(V54, $D$164:$D$227, E$164:E$227))</f>
        <v/>
      </c>
      <c r="AD54" s="14" t="str">
        <f t="shared" si="121"/>
        <v/>
      </c>
      <c r="AE54" s="14" t="str">
        <f t="shared" si="121"/>
        <v/>
      </c>
      <c r="AF54" s="14" t="str">
        <f t="shared" si="121"/>
        <v/>
      </c>
      <c r="AG54" s="14" t="str">
        <f t="shared" si="121"/>
        <v/>
      </c>
      <c r="AH54" s="14" t="str">
        <f t="shared" si="112"/>
        <v/>
      </c>
      <c r="AI54" s="14" t="str">
        <f t="shared" si="113"/>
        <v/>
      </c>
      <c r="AJ54" s="14"/>
      <c r="AK54" s="14" t="str">
        <f t="shared" si="118"/>
        <v/>
      </c>
      <c r="AL54" s="14"/>
      <c r="AM54" s="14"/>
      <c r="AN54" s="14"/>
      <c r="AO54" s="14"/>
      <c r="AP54" s="14"/>
    </row>
    <row r="55" ht="14.25" customHeight="1">
      <c r="A55" s="58" t="s">
        <v>35</v>
      </c>
      <c r="B55" s="51"/>
      <c r="C55" s="51"/>
      <c r="D55" s="58"/>
      <c r="E55" s="58"/>
      <c r="F55" s="58"/>
      <c r="G55" s="51"/>
      <c r="H55" s="51"/>
      <c r="I55" s="58"/>
      <c r="J55" s="14" t="str">
        <f t="shared" ref="J55:N55" si="122">IF(C55="","", LOOKUP(C55, $D$164:$D$227, E$164:E$227))</f>
        <v/>
      </c>
      <c r="K55" s="14" t="str">
        <f t="shared" si="122"/>
        <v/>
      </c>
      <c r="L55" s="14" t="str">
        <f t="shared" si="122"/>
        <v/>
      </c>
      <c r="M55" s="14" t="str">
        <f t="shared" si="122"/>
        <v/>
      </c>
      <c r="N55" s="14" t="str">
        <f t="shared" si="122"/>
        <v/>
      </c>
      <c r="O55" s="14" t="str">
        <f t="shared" si="115"/>
        <v/>
      </c>
      <c r="P55" s="14" t="str">
        <f t="shared" si="116"/>
        <v/>
      </c>
      <c r="Q55" s="14"/>
      <c r="R55" s="14" t="str">
        <f t="shared" si="120"/>
        <v/>
      </c>
      <c r="S55" s="14"/>
      <c r="T55" s="59" t="s">
        <v>22</v>
      </c>
      <c r="U55" s="51"/>
      <c r="V55" s="51"/>
      <c r="W55" s="51"/>
      <c r="X55" s="51"/>
      <c r="Y55" s="51"/>
      <c r="Z55" s="51"/>
      <c r="AA55" s="59">
        <v>36.0</v>
      </c>
      <c r="AB55" s="60"/>
      <c r="AC55" s="14" t="str">
        <f t="shared" ref="AC55:AG55" si="123">IF(V55="","", LOOKUP(V55, $D$164:$D$227, E$164:E$227))</f>
        <v/>
      </c>
      <c r="AD55" s="14" t="str">
        <f t="shared" si="123"/>
        <v/>
      </c>
      <c r="AE55" s="14" t="str">
        <f t="shared" si="123"/>
        <v/>
      </c>
      <c r="AF55" s="14" t="str">
        <f t="shared" si="123"/>
        <v/>
      </c>
      <c r="AG55" s="14" t="str">
        <f t="shared" si="123"/>
        <v/>
      </c>
      <c r="AH55" s="14">
        <f t="shared" si="112"/>
        <v>1.98</v>
      </c>
      <c r="AI55" s="14">
        <f t="shared" si="113"/>
        <v>1.98</v>
      </c>
      <c r="AJ55" s="14"/>
      <c r="AK55" s="14">
        <f t="shared" ref="AK55:AK57" si="126">IF(AI55="", "", AI55-AB55-1-AI56)</f>
        <v>-0.06</v>
      </c>
      <c r="AL55" s="14"/>
      <c r="AM55" s="14"/>
      <c r="AN55" s="14"/>
      <c r="AO55" s="14"/>
      <c r="AP55" s="14"/>
    </row>
    <row r="56" ht="14.25" customHeight="1">
      <c r="A56" s="59" t="s">
        <v>22</v>
      </c>
      <c r="B56" s="51"/>
      <c r="C56" s="51"/>
      <c r="D56" s="51"/>
      <c r="E56" s="51"/>
      <c r="F56" s="51"/>
      <c r="G56" s="51"/>
      <c r="H56" s="59">
        <v>29.0</v>
      </c>
      <c r="I56" s="60"/>
      <c r="J56" s="14" t="str">
        <f t="shared" ref="J56:N56" si="124">IF(C56="","", LOOKUP(C56, $D$164:$D$227, E$164:E$227))</f>
        <v/>
      </c>
      <c r="K56" s="14" t="str">
        <f t="shared" si="124"/>
        <v/>
      </c>
      <c r="L56" s="14" t="str">
        <f t="shared" si="124"/>
        <v/>
      </c>
      <c r="M56" s="14" t="str">
        <f t="shared" si="124"/>
        <v/>
      </c>
      <c r="N56" s="14" t="str">
        <f t="shared" si="124"/>
        <v/>
      </c>
      <c r="O56" s="14">
        <f t="shared" si="115"/>
        <v>1.87</v>
      </c>
      <c r="P56" s="14">
        <f t="shared" si="116"/>
        <v>1.87</v>
      </c>
      <c r="Q56" s="14"/>
      <c r="R56" s="77">
        <f t="shared" ref="R56:R57" si="128">IF(P56="", "", P56-I56-1-P57)</f>
        <v>0.87</v>
      </c>
      <c r="S56" s="14"/>
      <c r="T56" s="14"/>
      <c r="U56" s="51"/>
      <c r="V56" s="51"/>
      <c r="W56" s="51"/>
      <c r="X56" s="51"/>
      <c r="Y56" s="51"/>
      <c r="Z56" s="51"/>
      <c r="AA56" s="60">
        <v>3.0</v>
      </c>
      <c r="AB56" s="60"/>
      <c r="AC56" s="14" t="str">
        <f t="shared" ref="AC56:AG56" si="125">IF(V56="","", LOOKUP(V56, $D$164:$D$227, E$164:E$227))</f>
        <v/>
      </c>
      <c r="AD56" s="14" t="str">
        <f t="shared" si="125"/>
        <v/>
      </c>
      <c r="AE56" s="14" t="str">
        <f t="shared" si="125"/>
        <v/>
      </c>
      <c r="AF56" s="14" t="str">
        <f t="shared" si="125"/>
        <v/>
      </c>
      <c r="AG56" s="14" t="str">
        <f t="shared" si="125"/>
        <v/>
      </c>
      <c r="AH56" s="14">
        <f t="shared" si="112"/>
        <v>1.04</v>
      </c>
      <c r="AI56" s="14">
        <f t="shared" si="113"/>
        <v>1.04</v>
      </c>
      <c r="AJ56" s="14"/>
      <c r="AK56" s="14">
        <f t="shared" si="126"/>
        <v>0.04</v>
      </c>
      <c r="AL56" s="14"/>
      <c r="AM56" s="14"/>
      <c r="AN56" s="14"/>
      <c r="AO56" s="14"/>
      <c r="AP56" s="14"/>
    </row>
    <row r="57" ht="14.25" customHeight="1">
      <c r="A57" s="14"/>
      <c r="B57" s="51"/>
      <c r="C57" s="51"/>
      <c r="D57" s="51"/>
      <c r="E57" s="51"/>
      <c r="F57" s="51"/>
      <c r="G57" s="51"/>
      <c r="H57" s="60"/>
      <c r="I57" s="60"/>
      <c r="J57" s="14" t="str">
        <f t="shared" ref="J57:N57" si="127">IF(C57="","", LOOKUP(C57, $D$164:$D$227, E$164:E$227))</f>
        <v/>
      </c>
      <c r="K57" s="14" t="str">
        <f t="shared" si="127"/>
        <v/>
      </c>
      <c r="L57" s="14" t="str">
        <f t="shared" si="127"/>
        <v/>
      </c>
      <c r="M57" s="14" t="str">
        <f t="shared" si="127"/>
        <v/>
      </c>
      <c r="N57" s="14" t="str">
        <f t="shared" si="127"/>
        <v/>
      </c>
      <c r="O57" s="14" t="str">
        <f t="shared" si="115"/>
        <v/>
      </c>
      <c r="P57" s="14" t="str">
        <f t="shared" si="116"/>
        <v/>
      </c>
      <c r="Q57" s="14"/>
      <c r="R57" s="14" t="str">
        <f t="shared" si="128"/>
        <v/>
      </c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 t="str">
        <f t="shared" ref="AC57:AG57" si="129">IF(V57="","", LOOKUP(V57, $D$164:$D$227, E$164:E$227))</f>
        <v/>
      </c>
      <c r="AD57" s="14" t="str">
        <f t="shared" si="129"/>
        <v/>
      </c>
      <c r="AE57" s="14" t="str">
        <f t="shared" si="129"/>
        <v/>
      </c>
      <c r="AF57" s="14" t="str">
        <f t="shared" si="129"/>
        <v/>
      </c>
      <c r="AG57" s="14" t="str">
        <f t="shared" si="129"/>
        <v/>
      </c>
      <c r="AH57" s="14" t="str">
        <f t="shared" si="112"/>
        <v/>
      </c>
      <c r="AI57" s="14" t="str">
        <f t="shared" si="113"/>
        <v/>
      </c>
      <c r="AJ57" s="14"/>
      <c r="AK57" s="14" t="str">
        <f t="shared" si="126"/>
        <v/>
      </c>
      <c r="AL57" s="14"/>
      <c r="AM57" s="14"/>
      <c r="AN57" s="14"/>
      <c r="AO57" s="14"/>
      <c r="AP57" s="14"/>
    </row>
    <row r="58" ht="14.25" customHeight="1">
      <c r="A58" s="14"/>
      <c r="B58" s="14"/>
      <c r="C58" s="14" t="s">
        <v>12</v>
      </c>
      <c r="D58" s="14" t="s">
        <v>13</v>
      </c>
      <c r="E58" s="14" t="s">
        <v>14</v>
      </c>
      <c r="F58" s="14" t="s">
        <v>15</v>
      </c>
      <c r="G58" s="14" t="s">
        <v>16</v>
      </c>
      <c r="H58" s="14" t="s">
        <v>17</v>
      </c>
      <c r="I58" s="14" t="s">
        <v>18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53" t="s">
        <v>19</v>
      </c>
      <c r="U58" s="73">
        <v>16.0</v>
      </c>
      <c r="V58" s="74">
        <v>459.0</v>
      </c>
      <c r="W58" s="51"/>
      <c r="X58" s="51"/>
      <c r="Y58" s="51"/>
      <c r="Z58" s="51"/>
      <c r="AA58" s="51"/>
      <c r="AB58" s="53"/>
      <c r="AC58" s="14">
        <f t="shared" ref="AC58:AG58" si="130">IF(V58="","", LOOKUP(V58, $D$164:$D$227, E$164:E$227))</f>
        <v>4.08</v>
      </c>
      <c r="AD58" s="14" t="str">
        <f t="shared" si="130"/>
        <v/>
      </c>
      <c r="AE58" s="14" t="str">
        <f t="shared" si="130"/>
        <v/>
      </c>
      <c r="AF58" s="14" t="str">
        <f t="shared" si="130"/>
        <v/>
      </c>
      <c r="AG58" s="14" t="str">
        <f t="shared" si="130"/>
        <v/>
      </c>
      <c r="AH58" s="14" t="str">
        <f t="shared" si="112"/>
        <v/>
      </c>
      <c r="AI58" s="14">
        <f t="shared" si="113"/>
        <v>4.08</v>
      </c>
      <c r="AJ58" s="14"/>
      <c r="AK58" s="14">
        <f>IF(AI58="", "", IF(AI59="", IF(AI60="",AI58-AB58-1-AI61, AI58-AB58-1-AI60), AI58-AB58-1-AI59))</f>
        <v>0.11</v>
      </c>
      <c r="AL58" s="14"/>
      <c r="AM58" s="14"/>
      <c r="AN58" s="14"/>
      <c r="AO58" s="14"/>
      <c r="AP58" s="14"/>
    </row>
    <row r="59" ht="14.25" customHeight="1">
      <c r="A59" s="53" t="s">
        <v>19</v>
      </c>
      <c r="B59" s="73">
        <v>7.0</v>
      </c>
      <c r="C59" s="74"/>
      <c r="D59" s="51"/>
      <c r="E59" s="51"/>
      <c r="F59" s="51"/>
      <c r="G59" s="51"/>
      <c r="H59" s="51"/>
      <c r="I59" s="53"/>
      <c r="J59" s="14" t="str">
        <f t="shared" ref="J59:N59" si="131">IF(C59="","", LOOKUP(C59, $D$164:$D$227, E$164:E$227))</f>
        <v/>
      </c>
      <c r="K59" s="14" t="str">
        <f t="shared" si="131"/>
        <v/>
      </c>
      <c r="L59" s="14" t="str">
        <f t="shared" si="131"/>
        <v/>
      </c>
      <c r="M59" s="14" t="str">
        <f t="shared" si="131"/>
        <v/>
      </c>
      <c r="N59" s="14" t="str">
        <f t="shared" si="131"/>
        <v/>
      </c>
      <c r="O59" s="14" t="str">
        <f t="shared" ref="O59:O64" si="134">if(H59=1, 1, IF(H59="", "", If(H59&gt;$K$216, $L$216, if(H59&gt;$K$215, $L$215, if(H59&gt;$K$214, $L$214, if(H59&gt;$K$213, $L$213, if(H59&gt;$K$212, $L$212, if(H59&gt;$K$210, $L$210, if(H59&gt;$K$208, $L$208, if(H59&gt;$K$206, $L$206, if(H59&gt;$K$204, $L$204, if(H59&gt;$K$202, $L$202, if(H59&gt;$K$198, $L$198, if(H59&gt;$K$194, $L$194, if(H59&gt;$K$190, $L$190, if(H59&gt;$K$186, $L$186, if(H59&gt;$K$182, $L$182, $L$182)))))))))))))))))</f>
        <v/>
      </c>
      <c r="P59" s="14" t="str">
        <f t="shared" ref="P59:P64" si="135">IF(SUM(J59:O59)=0, "", SUM(J59:O59))</f>
        <v/>
      </c>
      <c r="Q59" s="14"/>
      <c r="R59" s="14" t="str">
        <f>IF(P59="", "", IF(P60="", IF(P61="",P59-I59-1-P62, P59-I59-1-P61), P59-I59-1-P60))</f>
        <v/>
      </c>
      <c r="S59" s="14"/>
      <c r="T59" s="57" t="s">
        <v>33</v>
      </c>
      <c r="U59" s="51"/>
      <c r="V59" s="51"/>
      <c r="W59" s="57"/>
      <c r="X59" s="57"/>
      <c r="Y59" s="57"/>
      <c r="Z59" s="57"/>
      <c r="AA59" s="51"/>
      <c r="AB59" s="57"/>
      <c r="AC59" s="14" t="str">
        <f t="shared" ref="AC59:AG59" si="132">IF(V59="","", LOOKUP(V59, $D$164:$D$227, E$164:E$227))</f>
        <v/>
      </c>
      <c r="AD59" s="14" t="str">
        <f t="shared" si="132"/>
        <v/>
      </c>
      <c r="AE59" s="14" t="str">
        <f t="shared" si="132"/>
        <v/>
      </c>
      <c r="AF59" s="14" t="str">
        <f t="shared" si="132"/>
        <v/>
      </c>
      <c r="AG59" s="14" t="str">
        <f t="shared" si="132"/>
        <v/>
      </c>
      <c r="AH59" s="14" t="str">
        <f t="shared" si="112"/>
        <v/>
      </c>
      <c r="AI59" s="14" t="str">
        <f t="shared" si="113"/>
        <v/>
      </c>
      <c r="AJ59" s="14"/>
      <c r="AK59" s="14" t="str">
        <f t="shared" ref="AK59:AK61" si="137">IF(AI59="", "", IF(AI60="", AI59-AB59-1-AI61, AI59-AB59-1-AI60))</f>
        <v/>
      </c>
      <c r="AL59" s="14"/>
      <c r="AM59" s="14"/>
      <c r="AN59" s="14"/>
      <c r="AO59" s="14"/>
      <c r="AP59" s="14"/>
    </row>
    <row r="60" ht="14.25" customHeight="1">
      <c r="A60" s="57" t="s">
        <v>33</v>
      </c>
      <c r="B60" s="51"/>
      <c r="C60" s="51"/>
      <c r="D60" s="57"/>
      <c r="E60" s="57"/>
      <c r="F60" s="57"/>
      <c r="G60" s="57"/>
      <c r="H60" s="51"/>
      <c r="I60" s="57"/>
      <c r="J60" s="14" t="str">
        <f t="shared" ref="J60:N60" si="133">IF(C60="","", LOOKUP(C60, $D$164:$D$227, E$164:E$227))</f>
        <v/>
      </c>
      <c r="K60" s="14" t="str">
        <f t="shared" si="133"/>
        <v/>
      </c>
      <c r="L60" s="14" t="str">
        <f t="shared" si="133"/>
        <v/>
      </c>
      <c r="M60" s="14" t="str">
        <f t="shared" si="133"/>
        <v/>
      </c>
      <c r="N60" s="14" t="str">
        <f t="shared" si="133"/>
        <v/>
      </c>
      <c r="O60" s="14" t="str">
        <f t="shared" si="134"/>
        <v/>
      </c>
      <c r="P60" s="14" t="str">
        <f t="shared" si="135"/>
        <v/>
      </c>
      <c r="Q60" s="14"/>
      <c r="R60" s="14" t="str">
        <f t="shared" ref="R60:R62" si="139">IF(P60="", "", IF(P61="", P60-I60-1-P62, P60-I60-1-P61))</f>
        <v/>
      </c>
      <c r="S60" s="14"/>
      <c r="U60" s="51"/>
      <c r="V60" s="57"/>
      <c r="W60" s="57">
        <v>155.0</v>
      </c>
      <c r="X60" s="57"/>
      <c r="Y60" s="57"/>
      <c r="Z60" s="57"/>
      <c r="AA60" s="51"/>
      <c r="AB60" s="57"/>
      <c r="AC60" s="14" t="str">
        <f t="shared" ref="AC60:AG60" si="136">IF(V60="","", LOOKUP(V60, $D$164:$D$227, E$164:E$227))</f>
        <v/>
      </c>
      <c r="AD60" s="14">
        <f t="shared" si="136"/>
        <v>2.97</v>
      </c>
      <c r="AE60" s="14" t="str">
        <f t="shared" si="136"/>
        <v/>
      </c>
      <c r="AF60" s="14" t="str">
        <f t="shared" si="136"/>
        <v/>
      </c>
      <c r="AG60" s="14" t="str">
        <f t="shared" si="136"/>
        <v/>
      </c>
      <c r="AH60" s="14" t="str">
        <f t="shared" si="112"/>
        <v/>
      </c>
      <c r="AI60" s="14">
        <f t="shared" si="113"/>
        <v>2.97</v>
      </c>
      <c r="AJ60" s="14"/>
      <c r="AK60" s="14">
        <f t="shared" si="137"/>
        <v>0.19</v>
      </c>
      <c r="AL60" s="14"/>
      <c r="AM60" s="14"/>
      <c r="AN60" s="14"/>
      <c r="AO60" s="14"/>
      <c r="AP60" s="14"/>
    </row>
    <row r="61" ht="14.25" customHeight="1">
      <c r="B61" s="51"/>
      <c r="C61" s="57">
        <v>205.0</v>
      </c>
      <c r="D61" s="57"/>
      <c r="E61" s="57"/>
      <c r="F61" s="57"/>
      <c r="G61" s="57"/>
      <c r="H61" s="51"/>
      <c r="I61" s="57"/>
      <c r="J61" s="14">
        <f t="shared" ref="J61:N61" si="138">IF(C61="","", LOOKUP(C61, $D$164:$D$227, E$164:E$227))</f>
        <v>3.12</v>
      </c>
      <c r="K61" s="14" t="str">
        <f t="shared" si="138"/>
        <v/>
      </c>
      <c r="L61" s="14" t="str">
        <f t="shared" si="138"/>
        <v/>
      </c>
      <c r="M61" s="14" t="str">
        <f t="shared" si="138"/>
        <v/>
      </c>
      <c r="N61" s="14" t="str">
        <f t="shared" si="138"/>
        <v/>
      </c>
      <c r="O61" s="14" t="str">
        <f t="shared" si="134"/>
        <v/>
      </c>
      <c r="P61" s="14">
        <f t="shared" si="135"/>
        <v>3.12</v>
      </c>
      <c r="Q61" s="14"/>
      <c r="R61" s="75">
        <f t="shared" si="139"/>
        <v>-0.57</v>
      </c>
      <c r="S61" s="14"/>
      <c r="T61" s="58" t="s">
        <v>35</v>
      </c>
      <c r="U61" s="51"/>
      <c r="V61" s="51"/>
      <c r="W61" s="58"/>
      <c r="X61" s="58"/>
      <c r="Y61" s="58"/>
      <c r="Z61" s="51"/>
      <c r="AA61" s="51"/>
      <c r="AB61" s="58"/>
      <c r="AC61" s="14" t="str">
        <f t="shared" ref="AC61:AG61" si="140">IF(V61="","", LOOKUP(V61, $D$164:$D$227, E$164:E$227))</f>
        <v/>
      </c>
      <c r="AD61" s="14" t="str">
        <f t="shared" si="140"/>
        <v/>
      </c>
      <c r="AE61" s="14" t="str">
        <f t="shared" si="140"/>
        <v/>
      </c>
      <c r="AF61" s="14" t="str">
        <f t="shared" si="140"/>
        <v/>
      </c>
      <c r="AG61" s="14" t="str">
        <f t="shared" si="140"/>
        <v/>
      </c>
      <c r="AH61" s="14" t="str">
        <f t="shared" si="112"/>
        <v/>
      </c>
      <c r="AI61" s="14" t="str">
        <f t="shared" si="113"/>
        <v/>
      </c>
      <c r="AJ61" s="14"/>
      <c r="AK61" s="14" t="str">
        <f t="shared" si="137"/>
        <v/>
      </c>
      <c r="AL61" s="14"/>
      <c r="AM61" s="14"/>
      <c r="AN61" s="14"/>
      <c r="AO61" s="14"/>
      <c r="AP61" s="14"/>
    </row>
    <row r="62" ht="14.25" customHeight="1">
      <c r="A62" s="58" t="s">
        <v>35</v>
      </c>
      <c r="B62" s="51"/>
      <c r="C62" s="51"/>
      <c r="D62" s="58"/>
      <c r="E62" s="58">
        <v>30.0</v>
      </c>
      <c r="F62" s="58"/>
      <c r="G62" s="51"/>
      <c r="H62" s="51"/>
      <c r="I62" s="58"/>
      <c r="J62" s="14" t="str">
        <f t="shared" ref="J62:N62" si="141">IF(C62="","", LOOKUP(C62, $D$164:$D$227, E$164:E$227))</f>
        <v/>
      </c>
      <c r="K62" s="14" t="str">
        <f t="shared" si="141"/>
        <v/>
      </c>
      <c r="L62" s="14">
        <f t="shared" si="141"/>
        <v>2.69</v>
      </c>
      <c r="M62" s="14" t="str">
        <f t="shared" si="141"/>
        <v/>
      </c>
      <c r="N62" s="14" t="str">
        <f t="shared" si="141"/>
        <v/>
      </c>
      <c r="O62" s="14" t="str">
        <f t="shared" si="134"/>
        <v/>
      </c>
      <c r="P62" s="14">
        <f t="shared" si="135"/>
        <v>2.69</v>
      </c>
      <c r="Q62" s="14"/>
      <c r="R62" s="14">
        <f t="shared" si="139"/>
        <v>0.13</v>
      </c>
      <c r="S62" s="14"/>
      <c r="T62" s="59" t="s">
        <v>22</v>
      </c>
      <c r="U62" s="51"/>
      <c r="V62" s="51"/>
      <c r="W62" s="51"/>
      <c r="X62" s="51"/>
      <c r="Y62" s="51"/>
      <c r="Z62" s="51"/>
      <c r="AA62" s="59">
        <v>18.0</v>
      </c>
      <c r="AB62" s="60"/>
      <c r="AC62" s="14" t="str">
        <f t="shared" ref="AC62:AG62" si="142">IF(V62="","", LOOKUP(V62, $D$164:$D$227, E$164:E$227))</f>
        <v/>
      </c>
      <c r="AD62" s="14" t="str">
        <f t="shared" si="142"/>
        <v/>
      </c>
      <c r="AE62" s="14" t="str">
        <f t="shared" si="142"/>
        <v/>
      </c>
      <c r="AF62" s="14" t="str">
        <f t="shared" si="142"/>
        <v/>
      </c>
      <c r="AG62" s="14" t="str">
        <f t="shared" si="142"/>
        <v/>
      </c>
      <c r="AH62" s="14">
        <f t="shared" si="112"/>
        <v>1.78</v>
      </c>
      <c r="AI62" s="14">
        <f t="shared" si="113"/>
        <v>1.78</v>
      </c>
      <c r="AJ62" s="14"/>
      <c r="AK62" s="77">
        <f t="shared" ref="AK62:AK64" si="145">IF(AI62="", "", AI62-AB62-1-AI63)</f>
        <v>0.78</v>
      </c>
      <c r="AL62" s="14"/>
      <c r="AM62" s="14"/>
      <c r="AN62" s="14"/>
      <c r="AO62" s="14"/>
      <c r="AP62" s="14"/>
    </row>
    <row r="63" ht="14.25" customHeight="1">
      <c r="A63" s="59" t="s">
        <v>22</v>
      </c>
      <c r="B63" s="51"/>
      <c r="C63" s="51"/>
      <c r="D63" s="51"/>
      <c r="E63" s="51"/>
      <c r="F63" s="51"/>
      <c r="G63" s="51"/>
      <c r="H63" s="59">
        <v>10.0</v>
      </c>
      <c r="I63" s="60"/>
      <c r="J63" s="14" t="str">
        <f t="shared" ref="J63:N63" si="143">IF(C63="","", LOOKUP(C63, $D$164:$D$227, E$164:E$227))</f>
        <v/>
      </c>
      <c r="K63" s="14" t="str">
        <f t="shared" si="143"/>
        <v/>
      </c>
      <c r="L63" s="14" t="str">
        <f t="shared" si="143"/>
        <v/>
      </c>
      <c r="M63" s="14" t="str">
        <f t="shared" si="143"/>
        <v/>
      </c>
      <c r="N63" s="14" t="str">
        <f t="shared" si="143"/>
        <v/>
      </c>
      <c r="O63" s="14">
        <f t="shared" si="134"/>
        <v>1.56</v>
      </c>
      <c r="P63" s="14">
        <f t="shared" si="135"/>
        <v>1.56</v>
      </c>
      <c r="Q63" s="14"/>
      <c r="R63" s="75">
        <f t="shared" ref="R63:R64" si="147">IF(P63="", "", P63-I63-1-P64)</f>
        <v>-0.44</v>
      </c>
      <c r="S63" s="14"/>
      <c r="T63" s="14"/>
      <c r="U63" s="51"/>
      <c r="V63" s="51"/>
      <c r="W63" s="51"/>
      <c r="X63" s="51"/>
      <c r="Y63" s="51"/>
      <c r="Z63" s="51"/>
      <c r="AA63" s="60"/>
      <c r="AB63" s="60"/>
      <c r="AC63" s="14" t="str">
        <f t="shared" ref="AC63:AG63" si="144">IF(V63="","", LOOKUP(V63, $D$164:$D$227, E$164:E$227))</f>
        <v/>
      </c>
      <c r="AD63" s="14" t="str">
        <f t="shared" si="144"/>
        <v/>
      </c>
      <c r="AE63" s="14" t="str">
        <f t="shared" si="144"/>
        <v/>
      </c>
      <c r="AF63" s="14" t="str">
        <f t="shared" si="144"/>
        <v/>
      </c>
      <c r="AG63" s="14" t="str">
        <f t="shared" si="144"/>
        <v/>
      </c>
      <c r="AH63" s="14" t="str">
        <f t="shared" si="112"/>
        <v/>
      </c>
      <c r="AI63" s="14" t="str">
        <f t="shared" si="113"/>
        <v/>
      </c>
      <c r="AJ63" s="14"/>
      <c r="AK63" s="14" t="str">
        <f t="shared" si="145"/>
        <v/>
      </c>
      <c r="AL63" s="14"/>
      <c r="AM63" s="14"/>
      <c r="AN63" s="14"/>
      <c r="AO63" s="14"/>
      <c r="AP63" s="14"/>
    </row>
    <row r="64" ht="14.25" customHeight="1">
      <c r="A64" s="14"/>
      <c r="B64" s="51"/>
      <c r="C64" s="51"/>
      <c r="D64" s="51"/>
      <c r="E64" s="51"/>
      <c r="F64" s="51"/>
      <c r="G64" s="51"/>
      <c r="H64" s="60">
        <v>1.0</v>
      </c>
      <c r="I64" s="60"/>
      <c r="J64" s="14" t="str">
        <f t="shared" ref="J64:N64" si="146">IF(C64="","", LOOKUP(C64, $D$164:$D$227, E$164:E$227))</f>
        <v/>
      </c>
      <c r="K64" s="14" t="str">
        <f t="shared" si="146"/>
        <v/>
      </c>
      <c r="L64" s="14" t="str">
        <f t="shared" si="146"/>
        <v/>
      </c>
      <c r="M64" s="14" t="str">
        <f t="shared" si="146"/>
        <v/>
      </c>
      <c r="N64" s="14" t="str">
        <f t="shared" si="146"/>
        <v/>
      </c>
      <c r="O64" s="14">
        <f t="shared" si="134"/>
        <v>1</v>
      </c>
      <c r="P64" s="14">
        <f t="shared" si="135"/>
        <v>1</v>
      </c>
      <c r="Q64" s="14"/>
      <c r="R64" s="14">
        <f t="shared" si="147"/>
        <v>0</v>
      </c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 t="str">
        <f t="shared" ref="AC64:AG64" si="148">IF(V64="","", LOOKUP(V64, $D$164:$D$227, E$164:E$227))</f>
        <v/>
      </c>
      <c r="AD64" s="14" t="str">
        <f t="shared" si="148"/>
        <v/>
      </c>
      <c r="AE64" s="14" t="str">
        <f t="shared" si="148"/>
        <v/>
      </c>
      <c r="AF64" s="14" t="str">
        <f t="shared" si="148"/>
        <v/>
      </c>
      <c r="AG64" s="14" t="str">
        <f t="shared" si="148"/>
        <v/>
      </c>
      <c r="AH64" s="14" t="str">
        <f t="shared" si="112"/>
        <v/>
      </c>
      <c r="AI64" s="14" t="str">
        <f t="shared" si="113"/>
        <v/>
      </c>
      <c r="AJ64" s="14"/>
      <c r="AK64" s="14" t="str">
        <f t="shared" si="145"/>
        <v/>
      </c>
      <c r="AL64" s="14"/>
      <c r="AM64" s="14"/>
      <c r="AN64" s="14"/>
      <c r="AO64" s="14"/>
      <c r="AP64" s="14"/>
    </row>
    <row r="65" ht="14.25" customHeight="1">
      <c r="A65" s="14"/>
      <c r="B65" s="14"/>
      <c r="C65" s="14" t="s">
        <v>12</v>
      </c>
      <c r="D65" s="14" t="s">
        <v>13</v>
      </c>
      <c r="E65" s="14" t="s">
        <v>14</v>
      </c>
      <c r="F65" s="14" t="s">
        <v>15</v>
      </c>
      <c r="G65" s="14" t="s">
        <v>16</v>
      </c>
      <c r="H65" s="14" t="s">
        <v>17</v>
      </c>
      <c r="I65" s="14" t="s">
        <v>18</v>
      </c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53" t="s">
        <v>19</v>
      </c>
      <c r="U65" s="73">
        <v>17.0</v>
      </c>
      <c r="V65" s="74">
        <v>525.0</v>
      </c>
      <c r="W65" s="51"/>
      <c r="X65" s="51"/>
      <c r="Y65" s="51"/>
      <c r="Z65" s="51"/>
      <c r="AA65" s="51"/>
      <c r="AB65" s="53"/>
      <c r="AC65" s="14">
        <f t="shared" ref="AC65:AG65" si="149">IF(V65="","", LOOKUP(V65, $D$164:$D$227, E$164:E$227))</f>
        <v>4.54</v>
      </c>
      <c r="AD65" s="14" t="str">
        <f t="shared" si="149"/>
        <v/>
      </c>
      <c r="AE65" s="14" t="str">
        <f t="shared" si="149"/>
        <v/>
      </c>
      <c r="AF65" s="14" t="str">
        <f t="shared" si="149"/>
        <v/>
      </c>
      <c r="AG65" s="14" t="str">
        <f t="shared" si="149"/>
        <v/>
      </c>
      <c r="AH65" s="14" t="str">
        <f t="shared" si="112"/>
        <v/>
      </c>
      <c r="AI65" s="14">
        <f t="shared" si="113"/>
        <v>4.54</v>
      </c>
      <c r="AJ65" s="14"/>
      <c r="AK65" s="77">
        <f>IF(AI65="", "", IF(AI66="", IF(AI67="",AI65-AB65-1-AI68, AI65-AB65-1-AI67), AI65-AB65-1-AI66))</f>
        <v>0.61</v>
      </c>
      <c r="AL65" s="14"/>
      <c r="AM65" s="14"/>
      <c r="AN65" s="14"/>
      <c r="AO65" s="14"/>
      <c r="AP65" s="14"/>
    </row>
    <row r="66" ht="14.25" customHeight="1">
      <c r="A66" s="53" t="s">
        <v>19</v>
      </c>
      <c r="B66" s="73">
        <v>8.0</v>
      </c>
      <c r="C66" s="74">
        <v>388.0</v>
      </c>
      <c r="D66" s="51"/>
      <c r="E66" s="51"/>
      <c r="F66" s="51"/>
      <c r="G66" s="51"/>
      <c r="H66" s="51"/>
      <c r="I66" s="53"/>
      <c r="J66" s="14">
        <f t="shared" ref="J66:N66" si="150">IF(C66="","", LOOKUP(C66, $D$164:$D$227, E$164:E$227))</f>
        <v>3.96</v>
      </c>
      <c r="K66" s="14" t="str">
        <f t="shared" si="150"/>
        <v/>
      </c>
      <c r="L66" s="14" t="str">
        <f t="shared" si="150"/>
        <v/>
      </c>
      <c r="M66" s="14" t="str">
        <f t="shared" si="150"/>
        <v/>
      </c>
      <c r="N66" s="14" t="str">
        <f t="shared" si="150"/>
        <v/>
      </c>
      <c r="O66" s="14" t="str">
        <f t="shared" ref="O66:O71" si="153">if(H66=1, 1, IF(H66="", "", If(H66&gt;$K$216, $L$216, if(H66&gt;$K$215, $L$215, if(H66&gt;$K$214, $L$214, if(H66&gt;$K$213, $L$213, if(H66&gt;$K$212, $L$212, if(H66&gt;$K$210, $L$210, if(H66&gt;$K$208, $L$208, if(H66&gt;$K$206, $L$206, if(H66&gt;$K$204, $L$204, if(H66&gt;$K$202, $L$202, if(H66&gt;$K$198, $L$198, if(H66&gt;$K$194, $L$194, if(H66&gt;$K$190, $L$190, if(H66&gt;$K$186, $L$186, if(H66&gt;$K$182, $L$182, $L$182)))))))))))))))))</f>
        <v/>
      </c>
      <c r="P66" s="14">
        <f t="shared" ref="P66:P71" si="154">IF(SUM(J66:O66)=0, "", SUM(J66:O66))</f>
        <v>3.96</v>
      </c>
      <c r="Q66" s="14"/>
      <c r="R66" s="14">
        <f>IF(P66="", "", IF(P67="", IF(P68="",P66-I66-1-P69, P66-I66-1-P68), P66-I66-1-P67))</f>
        <v>0.18</v>
      </c>
      <c r="S66" s="14"/>
      <c r="T66" s="57" t="s">
        <v>33</v>
      </c>
      <c r="U66" s="51"/>
      <c r="V66" s="51"/>
      <c r="W66" s="57"/>
      <c r="X66" s="57"/>
      <c r="Y66" s="57"/>
      <c r="Z66" s="57"/>
      <c r="AA66" s="51"/>
      <c r="AB66" s="57"/>
      <c r="AC66" s="14" t="str">
        <f t="shared" ref="AC66:AG66" si="151">IF(V66="","", LOOKUP(V66, $D$164:$D$227, E$164:E$227))</f>
        <v/>
      </c>
      <c r="AD66" s="14" t="str">
        <f t="shared" si="151"/>
        <v/>
      </c>
      <c r="AE66" s="14" t="str">
        <f t="shared" si="151"/>
        <v/>
      </c>
      <c r="AF66" s="14" t="str">
        <f t="shared" si="151"/>
        <v/>
      </c>
      <c r="AG66" s="14" t="str">
        <f t="shared" si="151"/>
        <v/>
      </c>
      <c r="AH66" s="14" t="str">
        <f t="shared" si="112"/>
        <v/>
      </c>
      <c r="AI66" s="14" t="str">
        <f t="shared" si="113"/>
        <v/>
      </c>
      <c r="AJ66" s="14"/>
      <c r="AK66" s="14" t="str">
        <f t="shared" ref="AK66:AK68" si="156">IF(AI66="", "", IF(AI67="", AI66-AB66-1-AI68, AI66-AB66-1-AI67))</f>
        <v/>
      </c>
      <c r="AL66" s="14"/>
      <c r="AM66" s="14"/>
      <c r="AN66" s="14"/>
      <c r="AO66" s="14"/>
      <c r="AP66" s="14"/>
    </row>
    <row r="67" ht="14.25" customHeight="1">
      <c r="A67" s="57" t="s">
        <v>33</v>
      </c>
      <c r="B67" s="51"/>
      <c r="C67" s="51"/>
      <c r="D67" s="57"/>
      <c r="E67" s="57"/>
      <c r="F67" s="57"/>
      <c r="G67" s="57"/>
      <c r="H67" s="51"/>
      <c r="I67" s="57"/>
      <c r="J67" s="14" t="str">
        <f t="shared" ref="J67:N67" si="152">IF(C67="","", LOOKUP(C67, $D$164:$D$227, E$164:E$227))</f>
        <v/>
      </c>
      <c r="K67" s="14" t="str">
        <f t="shared" si="152"/>
        <v/>
      </c>
      <c r="L67" s="14" t="str">
        <f t="shared" si="152"/>
        <v/>
      </c>
      <c r="M67" s="14" t="str">
        <f t="shared" si="152"/>
        <v/>
      </c>
      <c r="N67" s="14" t="str">
        <f t="shared" si="152"/>
        <v/>
      </c>
      <c r="O67" s="14" t="str">
        <f t="shared" si="153"/>
        <v/>
      </c>
      <c r="P67" s="14" t="str">
        <f t="shared" si="154"/>
        <v/>
      </c>
      <c r="Q67" s="14"/>
      <c r="R67" s="14" t="str">
        <f t="shared" ref="R67:R69" si="158">IF(P67="", "", IF(P68="", P67-I67-1-P69, P67-I67-1-P68))</f>
        <v/>
      </c>
      <c r="S67" s="14"/>
      <c r="U67" s="51"/>
      <c r="V67" s="57"/>
      <c r="W67" s="57">
        <v>147.0</v>
      </c>
      <c r="X67" s="57"/>
      <c r="Y67" s="57"/>
      <c r="Z67" s="57"/>
      <c r="AA67" s="51"/>
      <c r="AB67" s="57"/>
      <c r="AC67" s="14" t="str">
        <f t="shared" ref="AC67:AG67" si="155">IF(V67="","", LOOKUP(V67, $D$164:$D$227, E$164:E$227))</f>
        <v/>
      </c>
      <c r="AD67" s="14">
        <f t="shared" si="155"/>
        <v>2.93</v>
      </c>
      <c r="AE67" s="14" t="str">
        <f t="shared" si="155"/>
        <v/>
      </c>
      <c r="AF67" s="14" t="str">
        <f t="shared" si="155"/>
        <v/>
      </c>
      <c r="AG67" s="14" t="str">
        <f t="shared" si="155"/>
        <v/>
      </c>
      <c r="AH67" s="14" t="str">
        <f t="shared" si="112"/>
        <v/>
      </c>
      <c r="AI67" s="14">
        <f t="shared" si="113"/>
        <v>2.93</v>
      </c>
      <c r="AJ67" s="14"/>
      <c r="AK67" s="75">
        <f t="shared" si="156"/>
        <v>-0.27</v>
      </c>
      <c r="AL67" s="14"/>
      <c r="AM67" s="14"/>
      <c r="AN67" s="14"/>
      <c r="AO67" s="14"/>
      <c r="AP67" s="14"/>
    </row>
    <row r="68" ht="14.25" customHeight="1">
      <c r="B68" s="51"/>
      <c r="C68" s="57"/>
      <c r="D68" s="57">
        <v>93.0</v>
      </c>
      <c r="E68" s="57"/>
      <c r="F68" s="57"/>
      <c r="G68" s="57"/>
      <c r="H68" s="51"/>
      <c r="I68" s="57"/>
      <c r="J68" s="14" t="str">
        <f t="shared" ref="J68:N68" si="157">IF(C68="","", LOOKUP(C68, $D$164:$D$227, E$164:E$227))</f>
        <v/>
      </c>
      <c r="K68" s="67">
        <f t="shared" si="157"/>
        <v>2.78</v>
      </c>
      <c r="L68" s="14" t="str">
        <f t="shared" si="157"/>
        <v/>
      </c>
      <c r="M68" s="14" t="str">
        <f t="shared" si="157"/>
        <v/>
      </c>
      <c r="N68" s="14" t="str">
        <f t="shared" si="157"/>
        <v/>
      </c>
      <c r="O68" s="14" t="str">
        <f t="shared" si="153"/>
        <v/>
      </c>
      <c r="P68" s="14">
        <f t="shared" si="154"/>
        <v>2.78</v>
      </c>
      <c r="Q68" s="14"/>
      <c r="R68" s="14">
        <f t="shared" si="158"/>
        <v>0.17</v>
      </c>
      <c r="S68" s="14"/>
      <c r="T68" s="58" t="s">
        <v>35</v>
      </c>
      <c r="U68" s="51"/>
      <c r="V68" s="51"/>
      <c r="W68" s="58">
        <v>12.0</v>
      </c>
      <c r="X68" s="58"/>
      <c r="Y68" s="58"/>
      <c r="Z68" s="51"/>
      <c r="AA68" s="51"/>
      <c r="AB68" s="58"/>
      <c r="AC68" s="14" t="str">
        <f t="shared" ref="AC68:AG68" si="159">IF(V68="","", LOOKUP(V68, $D$164:$D$227, E$164:E$227))</f>
        <v/>
      </c>
      <c r="AD68" s="67">
        <f t="shared" si="159"/>
        <v>2.2</v>
      </c>
      <c r="AE68" s="14" t="str">
        <f t="shared" si="159"/>
        <v/>
      </c>
      <c r="AF68" s="14" t="str">
        <f t="shared" si="159"/>
        <v/>
      </c>
      <c r="AG68" s="14" t="str">
        <f t="shared" si="159"/>
        <v/>
      </c>
      <c r="AH68" s="14" t="str">
        <f t="shared" si="112"/>
        <v/>
      </c>
      <c r="AI68" s="14">
        <f t="shared" si="113"/>
        <v>2.2</v>
      </c>
      <c r="AJ68" s="14"/>
      <c r="AK68" s="14">
        <f t="shared" si="156"/>
        <v>0.16</v>
      </c>
      <c r="AL68" s="14"/>
      <c r="AM68" s="14"/>
      <c r="AN68" s="14"/>
      <c r="AO68" s="14"/>
      <c r="AP68" s="14"/>
    </row>
    <row r="69" ht="14.25" customHeight="1">
      <c r="A69" s="58" t="s">
        <v>35</v>
      </c>
      <c r="B69" s="51"/>
      <c r="C69" s="51"/>
      <c r="D69" s="58"/>
      <c r="E69" s="58"/>
      <c r="F69" s="58"/>
      <c r="G69" s="51"/>
      <c r="H69" s="51"/>
      <c r="I69" s="58"/>
      <c r="J69" s="14" t="str">
        <f t="shared" ref="J69:N69" si="160">IF(C69="","", LOOKUP(C69, $D$164:$D$227, E$164:E$227))</f>
        <v/>
      </c>
      <c r="K69" s="14" t="str">
        <f t="shared" si="160"/>
        <v/>
      </c>
      <c r="L69" s="14" t="str">
        <f t="shared" si="160"/>
        <v/>
      </c>
      <c r="M69" s="14" t="str">
        <f t="shared" si="160"/>
        <v/>
      </c>
      <c r="N69" s="14" t="str">
        <f t="shared" si="160"/>
        <v/>
      </c>
      <c r="O69" s="14" t="str">
        <f t="shared" si="153"/>
        <v/>
      </c>
      <c r="P69" s="14" t="str">
        <f t="shared" si="154"/>
        <v/>
      </c>
      <c r="Q69" s="14"/>
      <c r="R69" s="14" t="str">
        <f t="shared" si="158"/>
        <v/>
      </c>
      <c r="S69" s="14"/>
      <c r="T69" s="59" t="s">
        <v>22</v>
      </c>
      <c r="U69" s="51"/>
      <c r="V69" s="51"/>
      <c r="W69" s="51"/>
      <c r="X69" s="51"/>
      <c r="Y69" s="51"/>
      <c r="Z69" s="51"/>
      <c r="AA69" s="59">
        <v>3.0</v>
      </c>
      <c r="AB69" s="60"/>
      <c r="AC69" s="14" t="str">
        <f t="shared" ref="AC69:AG69" si="161">IF(V69="","", LOOKUP(V69, $D$164:$D$227, E$164:E$227))</f>
        <v/>
      </c>
      <c r="AD69" s="14" t="str">
        <f t="shared" si="161"/>
        <v/>
      </c>
      <c r="AE69" s="14" t="str">
        <f t="shared" si="161"/>
        <v/>
      </c>
      <c r="AF69" s="14" t="str">
        <f t="shared" si="161"/>
        <v/>
      </c>
      <c r="AG69" s="14" t="str">
        <f t="shared" si="161"/>
        <v/>
      </c>
      <c r="AH69" s="14">
        <f t="shared" si="112"/>
        <v>1.04</v>
      </c>
      <c r="AI69" s="14">
        <f t="shared" si="113"/>
        <v>1.04</v>
      </c>
      <c r="AJ69" s="14"/>
      <c r="AK69" s="14">
        <f t="shared" ref="AK69:AK71" si="164">IF(AI69="", "", AI69-AB69-1-AI70)</f>
        <v>0.04</v>
      </c>
      <c r="AL69" s="14"/>
      <c r="AM69" s="14"/>
      <c r="AN69" s="14"/>
      <c r="AO69" s="14"/>
      <c r="AP69" s="14"/>
    </row>
    <row r="70" ht="14.25" customHeight="1">
      <c r="A70" s="59" t="s">
        <v>22</v>
      </c>
      <c r="B70" s="51"/>
      <c r="C70" s="51"/>
      <c r="D70" s="51"/>
      <c r="E70" s="51"/>
      <c r="F70" s="51"/>
      <c r="G70" s="51"/>
      <c r="H70" s="59">
        <v>13.0</v>
      </c>
      <c r="I70" s="60"/>
      <c r="J70" s="14" t="str">
        <f t="shared" ref="J70:N70" si="162">IF(C70="","", LOOKUP(C70, $D$164:$D$227, E$164:E$227))</f>
        <v/>
      </c>
      <c r="K70" s="14" t="str">
        <f t="shared" si="162"/>
        <v/>
      </c>
      <c r="L70" s="14" t="str">
        <f t="shared" si="162"/>
        <v/>
      </c>
      <c r="M70" s="14" t="str">
        <f t="shared" si="162"/>
        <v/>
      </c>
      <c r="N70" s="14" t="str">
        <f t="shared" si="162"/>
        <v/>
      </c>
      <c r="O70" s="14">
        <f t="shared" si="153"/>
        <v>1.61</v>
      </c>
      <c r="P70" s="14">
        <f t="shared" si="154"/>
        <v>1.61</v>
      </c>
      <c r="Q70" s="14"/>
      <c r="R70" s="75">
        <f t="shared" ref="R70:R71" si="166">IF(P70="", "", P70-I70-1-P71)</f>
        <v>-0.39</v>
      </c>
      <c r="S70" s="14"/>
      <c r="T70" s="14"/>
      <c r="U70" s="51"/>
      <c r="V70" s="51"/>
      <c r="W70" s="51"/>
      <c r="X70" s="51"/>
      <c r="Y70" s="51"/>
      <c r="Z70" s="51"/>
      <c r="AA70" s="60"/>
      <c r="AB70" s="60"/>
      <c r="AC70" s="14" t="str">
        <f t="shared" ref="AC70:AG70" si="163">IF(V70="","", LOOKUP(V70, $D$164:$D$227, E$164:E$227))</f>
        <v/>
      </c>
      <c r="AD70" s="14" t="str">
        <f t="shared" si="163"/>
        <v/>
      </c>
      <c r="AE70" s="14" t="str">
        <f t="shared" si="163"/>
        <v/>
      </c>
      <c r="AF70" s="14" t="str">
        <f t="shared" si="163"/>
        <v/>
      </c>
      <c r="AG70" s="14" t="str">
        <f t="shared" si="163"/>
        <v/>
      </c>
      <c r="AH70" s="14" t="str">
        <f t="shared" si="112"/>
        <v/>
      </c>
      <c r="AI70" s="14" t="str">
        <f t="shared" si="113"/>
        <v/>
      </c>
      <c r="AJ70" s="14"/>
      <c r="AK70" s="14" t="str">
        <f t="shared" si="164"/>
        <v/>
      </c>
      <c r="AL70" s="14"/>
      <c r="AM70" s="14"/>
      <c r="AN70" s="14"/>
      <c r="AO70" s="14"/>
      <c r="AP70" s="14"/>
    </row>
    <row r="71" ht="14.25" customHeight="1">
      <c r="A71" s="14"/>
      <c r="B71" s="51"/>
      <c r="C71" s="51"/>
      <c r="D71" s="51"/>
      <c r="E71" s="51"/>
      <c r="F71" s="51"/>
      <c r="G71" s="51"/>
      <c r="H71" s="60">
        <v>1.0</v>
      </c>
      <c r="I71" s="60"/>
      <c r="J71" s="14" t="str">
        <f t="shared" ref="J71:N71" si="165">IF(C71="","", LOOKUP(C71, $D$164:$D$227, E$164:E$227))</f>
        <v/>
      </c>
      <c r="K71" s="14" t="str">
        <f t="shared" si="165"/>
        <v/>
      </c>
      <c r="L71" s="14" t="str">
        <f t="shared" si="165"/>
        <v/>
      </c>
      <c r="M71" s="14" t="str">
        <f t="shared" si="165"/>
        <v/>
      </c>
      <c r="N71" s="14" t="str">
        <f t="shared" si="165"/>
        <v/>
      </c>
      <c r="O71" s="14">
        <f t="shared" si="153"/>
        <v>1</v>
      </c>
      <c r="P71" s="14">
        <f t="shared" si="154"/>
        <v>1</v>
      </c>
      <c r="Q71" s="14"/>
      <c r="R71" s="14">
        <f t="shared" si="166"/>
        <v>0</v>
      </c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 t="str">
        <f t="shared" ref="AC71:AG71" si="167">IF(V71="","", LOOKUP(V71, $D$164:$D$227, E$164:E$227))</f>
        <v/>
      </c>
      <c r="AD71" s="14" t="str">
        <f t="shared" si="167"/>
        <v/>
      </c>
      <c r="AE71" s="14" t="str">
        <f t="shared" si="167"/>
        <v/>
      </c>
      <c r="AF71" s="14" t="str">
        <f t="shared" si="167"/>
        <v/>
      </c>
      <c r="AG71" s="14" t="str">
        <f t="shared" si="167"/>
        <v/>
      </c>
      <c r="AH71" s="14" t="str">
        <f t="shared" si="112"/>
        <v/>
      </c>
      <c r="AI71" s="14" t="str">
        <f t="shared" si="113"/>
        <v/>
      </c>
      <c r="AJ71" s="14"/>
      <c r="AK71" s="14" t="str">
        <f t="shared" si="164"/>
        <v/>
      </c>
      <c r="AL71" s="14"/>
      <c r="AM71" s="14"/>
      <c r="AN71" s="14"/>
      <c r="AO71" s="14"/>
      <c r="AP71" s="14"/>
    </row>
    <row r="72" ht="14.25" customHeight="1">
      <c r="A72" s="14"/>
      <c r="B72" s="14"/>
      <c r="C72" s="14" t="s">
        <v>12</v>
      </c>
      <c r="D72" s="14" t="s">
        <v>13</v>
      </c>
      <c r="E72" s="14" t="s">
        <v>14</v>
      </c>
      <c r="F72" s="14" t="s">
        <v>15</v>
      </c>
      <c r="G72" s="14" t="s">
        <v>16</v>
      </c>
      <c r="H72" s="14" t="s">
        <v>17</v>
      </c>
      <c r="I72" s="14" t="s">
        <v>18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53" t="s">
        <v>19</v>
      </c>
      <c r="U72" s="73">
        <v>18.0</v>
      </c>
      <c r="V72" s="74">
        <v>465.0</v>
      </c>
      <c r="W72" s="51"/>
      <c r="X72" s="51"/>
      <c r="Y72" s="51"/>
      <c r="Z72" s="51"/>
      <c r="AA72" s="51"/>
      <c r="AB72" s="53"/>
      <c r="AC72" s="14">
        <f t="shared" ref="AC72:AG72" si="168">IF(V72="","", LOOKUP(V72, $D$164:$D$227, E$164:E$227))</f>
        <v>4.17</v>
      </c>
      <c r="AD72" s="14" t="str">
        <f t="shared" si="168"/>
        <v/>
      </c>
      <c r="AE72" s="14" t="str">
        <f t="shared" si="168"/>
        <v/>
      </c>
      <c r="AF72" s="14" t="str">
        <f t="shared" si="168"/>
        <v/>
      </c>
      <c r="AG72" s="14" t="str">
        <f t="shared" si="168"/>
        <v/>
      </c>
      <c r="AH72" s="14" t="str">
        <f t="shared" si="112"/>
        <v/>
      </c>
      <c r="AI72" s="14">
        <f t="shared" si="113"/>
        <v>4.17</v>
      </c>
      <c r="AJ72" s="14"/>
      <c r="AK72" s="14">
        <f>IF(AI72="", "", IF(AI73="", IF(AI74="",AI72-AB72-1-AI75, AI72-AB72-1-AI74), AI72-AB72-1-AI73))</f>
        <v>-0.05</v>
      </c>
      <c r="AL72" s="14"/>
      <c r="AM72" s="14"/>
      <c r="AN72" s="14"/>
      <c r="AO72" s="14"/>
      <c r="AP72" s="14"/>
    </row>
    <row r="73" ht="14.25" customHeight="1">
      <c r="A73" s="53" t="s">
        <v>19</v>
      </c>
      <c r="B73" s="73">
        <v>9.0</v>
      </c>
      <c r="C73" s="74">
        <v>378.0</v>
      </c>
      <c r="D73" s="51"/>
      <c r="E73" s="51"/>
      <c r="F73" s="51"/>
      <c r="G73" s="51"/>
      <c r="H73" s="51"/>
      <c r="I73" s="53"/>
      <c r="J73" s="14">
        <f t="shared" ref="J73:N73" si="169">IF(C73="","", LOOKUP(C73, $D$164:$D$227, E$164:E$227))</f>
        <v>3.92</v>
      </c>
      <c r="K73" s="14" t="str">
        <f t="shared" si="169"/>
        <v/>
      </c>
      <c r="L73" s="14" t="str">
        <f t="shared" si="169"/>
        <v/>
      </c>
      <c r="M73" s="14" t="str">
        <f t="shared" si="169"/>
        <v/>
      </c>
      <c r="N73" s="14" t="str">
        <f t="shared" si="169"/>
        <v/>
      </c>
      <c r="O73" s="14" t="str">
        <f t="shared" ref="O73:O78" si="172">if(H73=1, 1, IF(H73="", "", If(H73&gt;$K$216, $L$216, if(H73&gt;$K$215, $L$215, if(H73&gt;$K$214, $L$214, if(H73&gt;$K$213, $L$213, if(H73&gt;$K$212, $L$212, if(H73&gt;$K$210, $L$210, if(H73&gt;$K$208, $L$208, if(H73&gt;$K$206, $L$206, if(H73&gt;$K$204, $L$204, if(H73&gt;$K$202, $L$202, if(H73&gt;$K$198, $L$198, if(H73&gt;$K$194, $L$194, if(H73&gt;$K$190, $L$190, if(H73&gt;$K$186, $L$186, if(H73&gt;$K$182, $L$182, $L$182)))))))))))))))))</f>
        <v/>
      </c>
      <c r="P73" s="14">
        <f t="shared" ref="P73:P78" si="173">IF(SUM(J73:O73)=0, "", SUM(J73:O73))</f>
        <v>3.92</v>
      </c>
      <c r="Q73" s="14"/>
      <c r="R73" s="14">
        <f>IF(P73="", "", IF(P74="", IF(P75="",P73-I73-1-P76, P73-I73-1-P75), P73-I73-1-P74))</f>
        <v>0.04</v>
      </c>
      <c r="S73" s="14"/>
      <c r="T73" s="57" t="s">
        <v>33</v>
      </c>
      <c r="U73" s="51"/>
      <c r="V73" s="51"/>
      <c r="W73" s="57"/>
      <c r="X73" s="57"/>
      <c r="Y73" s="57"/>
      <c r="Z73" s="57"/>
      <c r="AA73" s="51"/>
      <c r="AB73" s="57"/>
      <c r="AC73" s="14" t="str">
        <f t="shared" ref="AC73:AG73" si="170">IF(V73="","", LOOKUP(V73, $D$164:$D$227, E$164:E$227))</f>
        <v/>
      </c>
      <c r="AD73" s="14" t="str">
        <f t="shared" si="170"/>
        <v/>
      </c>
      <c r="AE73" s="14" t="str">
        <f t="shared" si="170"/>
        <v/>
      </c>
      <c r="AF73" s="14" t="str">
        <f t="shared" si="170"/>
        <v/>
      </c>
      <c r="AG73" s="14" t="str">
        <f t="shared" si="170"/>
        <v/>
      </c>
      <c r="AH73" s="14" t="str">
        <f t="shared" si="112"/>
        <v/>
      </c>
      <c r="AI73" s="14" t="str">
        <f t="shared" si="113"/>
        <v/>
      </c>
      <c r="AJ73" s="14"/>
      <c r="AK73" s="14" t="str">
        <f t="shared" ref="AK73:AK75" si="175">IF(AI73="", "", IF(AI74="", AI73-AB73-1-AI75, AI73-AB73-1-AI74))</f>
        <v/>
      </c>
      <c r="AL73" s="14"/>
      <c r="AM73" s="14"/>
      <c r="AN73" s="14"/>
      <c r="AO73" s="14"/>
      <c r="AP73" s="14"/>
    </row>
    <row r="74" ht="14.25" customHeight="1">
      <c r="A74" s="57" t="s">
        <v>33</v>
      </c>
      <c r="B74" s="51"/>
      <c r="C74" s="51"/>
      <c r="D74" s="57"/>
      <c r="E74" s="57"/>
      <c r="F74" s="57"/>
      <c r="G74" s="57"/>
      <c r="H74" s="51"/>
      <c r="I74" s="57"/>
      <c r="J74" s="14" t="str">
        <f t="shared" ref="J74:N74" si="171">IF(C74="","", LOOKUP(C74, $D$164:$D$227, E$164:E$227))</f>
        <v/>
      </c>
      <c r="K74" s="14" t="str">
        <f t="shared" si="171"/>
        <v/>
      </c>
      <c r="L74" s="14" t="str">
        <f t="shared" si="171"/>
        <v/>
      </c>
      <c r="M74" s="14" t="str">
        <f t="shared" si="171"/>
        <v/>
      </c>
      <c r="N74" s="14" t="str">
        <f t="shared" si="171"/>
        <v/>
      </c>
      <c r="O74" s="14" t="str">
        <f t="shared" si="172"/>
        <v/>
      </c>
      <c r="P74" s="14" t="str">
        <f t="shared" si="173"/>
        <v/>
      </c>
      <c r="Q74" s="14"/>
      <c r="R74" s="14" t="str">
        <f t="shared" ref="R74:R76" si="177">IF(P74="", "", IF(P75="", P74-I74-1-P76, P74-I74-1-P75))</f>
        <v/>
      </c>
      <c r="S74" s="14"/>
      <c r="U74" s="51"/>
      <c r="V74" s="57"/>
      <c r="W74" s="57"/>
      <c r="X74" s="57"/>
      <c r="Y74" s="57">
        <v>141.0</v>
      </c>
      <c r="Z74" s="57"/>
      <c r="AA74" s="51"/>
      <c r="AB74" s="57"/>
      <c r="AC74" s="14" t="str">
        <f t="shared" ref="AC74:AG74" si="174">IF(V74="","", LOOKUP(V74, $D$164:$D$227, E$164:E$227))</f>
        <v/>
      </c>
      <c r="AD74" s="14" t="str">
        <f t="shared" si="174"/>
        <v/>
      </c>
      <c r="AE74" s="14" t="str">
        <f t="shared" si="174"/>
        <v/>
      </c>
      <c r="AF74" s="14">
        <f t="shared" si="174"/>
        <v>3.22</v>
      </c>
      <c r="AG74" s="14" t="str">
        <f t="shared" si="174"/>
        <v/>
      </c>
      <c r="AH74" s="14" t="str">
        <f t="shared" si="112"/>
        <v/>
      </c>
      <c r="AI74" s="14">
        <f t="shared" si="113"/>
        <v>3.22</v>
      </c>
      <c r="AJ74" s="14"/>
      <c r="AK74" s="14">
        <f t="shared" si="175"/>
        <v>-0.18</v>
      </c>
      <c r="AL74" s="14"/>
      <c r="AM74" s="14"/>
      <c r="AN74" s="14"/>
      <c r="AO74" s="14"/>
      <c r="AP74" s="14"/>
    </row>
    <row r="75" ht="14.25" customHeight="1">
      <c r="B75" s="51"/>
      <c r="C75" s="57"/>
      <c r="D75" s="57">
        <v>132.0</v>
      </c>
      <c r="E75" s="57"/>
      <c r="F75" s="57"/>
      <c r="G75" s="57"/>
      <c r="H75" s="51"/>
      <c r="I75" s="57"/>
      <c r="J75" s="14" t="str">
        <f t="shared" ref="J75:N75" si="176">IF(C75="","", LOOKUP(C75, $D$164:$D$227, E$164:E$227))</f>
        <v/>
      </c>
      <c r="K75" s="14">
        <f t="shared" si="176"/>
        <v>2.88</v>
      </c>
      <c r="L75" s="14" t="str">
        <f t="shared" si="176"/>
        <v/>
      </c>
      <c r="M75" s="14" t="str">
        <f t="shared" si="176"/>
        <v/>
      </c>
      <c r="N75" s="14" t="str">
        <f t="shared" si="176"/>
        <v/>
      </c>
      <c r="O75" s="14" t="str">
        <f t="shared" si="172"/>
        <v/>
      </c>
      <c r="P75" s="14">
        <f t="shared" si="173"/>
        <v>2.88</v>
      </c>
      <c r="Q75" s="14"/>
      <c r="R75" s="75">
        <f t="shared" si="177"/>
        <v>-0.42</v>
      </c>
      <c r="S75" s="14"/>
      <c r="T75" s="58" t="s">
        <v>35</v>
      </c>
      <c r="U75" s="51"/>
      <c r="V75" s="51"/>
      <c r="W75" s="58"/>
      <c r="X75" s="58"/>
      <c r="Y75" s="58"/>
      <c r="Z75" s="51"/>
      <c r="AA75" s="51"/>
      <c r="AB75" s="58"/>
      <c r="AC75" s="14" t="str">
        <f t="shared" ref="AC75:AG75" si="178">IF(V75="","", LOOKUP(V75, $D$164:$D$227, E$164:E$227))</f>
        <v/>
      </c>
      <c r="AD75" s="14" t="str">
        <f t="shared" si="178"/>
        <v/>
      </c>
      <c r="AE75" s="14" t="str">
        <f t="shared" si="178"/>
        <v/>
      </c>
      <c r="AF75" s="14" t="str">
        <f t="shared" si="178"/>
        <v/>
      </c>
      <c r="AG75" s="14" t="str">
        <f t="shared" si="178"/>
        <v/>
      </c>
      <c r="AH75" s="14" t="str">
        <f t="shared" si="112"/>
        <v/>
      </c>
      <c r="AI75" s="14" t="str">
        <f t="shared" si="113"/>
        <v/>
      </c>
      <c r="AJ75" s="14"/>
      <c r="AK75" s="14" t="str">
        <f t="shared" si="175"/>
        <v/>
      </c>
      <c r="AL75" s="14"/>
      <c r="AM75" s="14"/>
      <c r="AN75" s="14"/>
      <c r="AO75" s="14"/>
      <c r="AP75" s="14"/>
    </row>
    <row r="76" ht="14.25" customHeight="1">
      <c r="A76" s="58" t="s">
        <v>35</v>
      </c>
      <c r="B76" s="51"/>
      <c r="C76" s="51"/>
      <c r="D76" s="58">
        <v>15.0</v>
      </c>
      <c r="E76" s="58"/>
      <c r="F76" s="58"/>
      <c r="G76" s="51"/>
      <c r="H76" s="51"/>
      <c r="I76" s="58"/>
      <c r="J76" s="14" t="str">
        <f t="shared" ref="J76:N76" si="179">IF(C76="","", LOOKUP(C76, $D$164:$D$227, E$164:E$227))</f>
        <v/>
      </c>
      <c r="K76" s="67">
        <f t="shared" si="179"/>
        <v>2.3</v>
      </c>
      <c r="L76" s="14" t="str">
        <f t="shared" si="179"/>
        <v/>
      </c>
      <c r="M76" s="14" t="str">
        <f t="shared" si="179"/>
        <v/>
      </c>
      <c r="N76" s="14" t="str">
        <f t="shared" si="179"/>
        <v/>
      </c>
      <c r="O76" s="14" t="str">
        <f t="shared" si="172"/>
        <v/>
      </c>
      <c r="P76" s="14">
        <f t="shared" si="173"/>
        <v>2.3</v>
      </c>
      <c r="Q76" s="14"/>
      <c r="R76" s="14">
        <f t="shared" si="177"/>
        <v>0.26</v>
      </c>
      <c r="S76" s="14"/>
      <c r="T76" s="59" t="s">
        <v>22</v>
      </c>
      <c r="U76" s="51"/>
      <c r="V76" s="51"/>
      <c r="W76" s="51"/>
      <c r="X76" s="51"/>
      <c r="Y76" s="51"/>
      <c r="Z76" s="51"/>
      <c r="AA76" s="59">
        <v>93.0</v>
      </c>
      <c r="AB76" s="60"/>
      <c r="AC76" s="14" t="str">
        <f t="shared" ref="AC76:AG76" si="180">IF(V76="","", LOOKUP(V76, $D$164:$D$227, E$164:E$227))</f>
        <v/>
      </c>
      <c r="AD76" s="14" t="str">
        <f t="shared" si="180"/>
        <v/>
      </c>
      <c r="AE76" s="14" t="str">
        <f t="shared" si="180"/>
        <v/>
      </c>
      <c r="AF76" s="14" t="str">
        <f t="shared" si="180"/>
        <v/>
      </c>
      <c r="AG76" s="14" t="str">
        <f t="shared" si="180"/>
        <v/>
      </c>
      <c r="AH76" s="67">
        <f t="shared" si="112"/>
        <v>2.4</v>
      </c>
      <c r="AI76" s="14">
        <f t="shared" si="113"/>
        <v>2.4</v>
      </c>
      <c r="AJ76" s="14"/>
      <c r="AK76" s="75">
        <f>IF(AI76="", "", AI76-AB76-1-AI77)</f>
        <v>-0.47</v>
      </c>
      <c r="AL76" s="14"/>
      <c r="AM76" s="14"/>
      <c r="AN76" s="14"/>
      <c r="AO76" s="14"/>
      <c r="AP76" s="14"/>
    </row>
    <row r="77" ht="14.25" customHeight="1">
      <c r="A77" s="59" t="s">
        <v>22</v>
      </c>
      <c r="B77" s="51"/>
      <c r="C77" s="51"/>
      <c r="D77" s="51"/>
      <c r="E77" s="51"/>
      <c r="F77" s="51"/>
      <c r="G77" s="51"/>
      <c r="H77" s="59">
        <v>4.0</v>
      </c>
      <c r="I77" s="60"/>
      <c r="J77" s="14" t="str">
        <f t="shared" ref="J77:N77" si="181">IF(C77="","", LOOKUP(C77, $D$164:$D$227, E$164:E$227))</f>
        <v/>
      </c>
      <c r="K77" s="14" t="str">
        <f t="shared" si="181"/>
        <v/>
      </c>
      <c r="L77" s="14" t="str">
        <f t="shared" si="181"/>
        <v/>
      </c>
      <c r="M77" s="14" t="str">
        <f t="shared" si="181"/>
        <v/>
      </c>
      <c r="N77" s="14" t="str">
        <f t="shared" si="181"/>
        <v/>
      </c>
      <c r="O77" s="14">
        <f t="shared" si="172"/>
        <v>1.04</v>
      </c>
      <c r="P77" s="14">
        <f t="shared" si="173"/>
        <v>1.04</v>
      </c>
      <c r="Q77" s="14"/>
      <c r="R77" s="14">
        <f>IF(P77="", "", P77-I77-1-P78)</f>
        <v>0.04</v>
      </c>
      <c r="S77" s="14"/>
      <c r="T77" s="14"/>
      <c r="U77" s="51"/>
      <c r="V77" s="51"/>
      <c r="W77" s="51"/>
      <c r="X77" s="51"/>
      <c r="Y77" s="51"/>
      <c r="Z77" s="51"/>
      <c r="AA77" s="60">
        <v>24.0</v>
      </c>
      <c r="AB77" s="60">
        <v>2.0</v>
      </c>
      <c r="AC77" s="14" t="str">
        <f t="shared" ref="AC77:AG77" si="182">IF(V77="","", LOOKUP(V77, $D$164:$D$227, E$164:E$227))</f>
        <v/>
      </c>
      <c r="AD77" s="14" t="str">
        <f t="shared" si="182"/>
        <v/>
      </c>
      <c r="AE77" s="14" t="str">
        <f t="shared" si="182"/>
        <v/>
      </c>
      <c r="AF77" s="14" t="str">
        <f t="shared" si="182"/>
        <v/>
      </c>
      <c r="AG77" s="14" t="str">
        <f t="shared" si="182"/>
        <v/>
      </c>
      <c r="AH77" s="14">
        <f t="shared" si="112"/>
        <v>1.87</v>
      </c>
      <c r="AI77" s="14">
        <f t="shared" si="113"/>
        <v>1.87</v>
      </c>
      <c r="AJ77" s="14"/>
      <c r="AK77" s="75">
        <f>IF(AI77="", "", AI77-AB77-1-P142)</f>
        <v>-1.13</v>
      </c>
      <c r="AL77" s="14"/>
      <c r="AM77" s="14"/>
      <c r="AN77" s="14"/>
      <c r="AO77" s="14"/>
      <c r="AP77" s="14"/>
    </row>
    <row r="78" ht="14.25" customHeight="1">
      <c r="A78" s="14"/>
      <c r="B78" s="51"/>
      <c r="C78" s="51"/>
      <c r="D78" s="51"/>
      <c r="E78" s="51"/>
      <c r="F78" s="51"/>
      <c r="G78" s="51"/>
      <c r="H78" s="60"/>
      <c r="I78" s="60"/>
      <c r="J78" s="14" t="str">
        <f t="shared" ref="J78:N78" si="183">IF(C78="","", LOOKUP(C78, $D$164:$D$227, E$164:E$227))</f>
        <v/>
      </c>
      <c r="K78" s="14" t="str">
        <f t="shared" si="183"/>
        <v/>
      </c>
      <c r="L78" s="14" t="str">
        <f t="shared" si="183"/>
        <v/>
      </c>
      <c r="M78" s="14" t="str">
        <f t="shared" si="183"/>
        <v/>
      </c>
      <c r="N78" s="14" t="str">
        <f t="shared" si="183"/>
        <v/>
      </c>
      <c r="O78" s="14" t="str">
        <f t="shared" si="172"/>
        <v/>
      </c>
      <c r="P78" s="14" t="str">
        <f t="shared" si="173"/>
        <v/>
      </c>
      <c r="Q78" s="14"/>
      <c r="R78" s="14" t="str">
        <f>IF(P78="", "", P78-I78-1-AS15)</f>
        <v/>
      </c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</row>
    <row r="79" ht="14.2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</row>
    <row r="80" ht="14.2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</row>
    <row r="81" ht="14.2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</row>
    <row r="82" ht="14.2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</row>
    <row r="83" ht="14.2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</row>
    <row r="84" ht="14.2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</row>
    <row r="85" ht="14.2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</row>
    <row r="86" ht="14.2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</row>
    <row r="87" ht="14.2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</row>
    <row r="88" ht="14.2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</row>
    <row r="89" ht="14.2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</row>
    <row r="90" ht="14.2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</row>
    <row r="91" ht="14.2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</row>
    <row r="92" ht="14.2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</row>
    <row r="93" ht="14.2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</row>
    <row r="94" ht="14.2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</row>
    <row r="95" ht="14.2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</row>
    <row r="96" ht="14.2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</row>
    <row r="97" ht="14.2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</row>
    <row r="98" ht="14.2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</row>
    <row r="99" ht="14.2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</row>
    <row r="100" ht="14.2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</row>
    <row r="101" ht="14.2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</row>
    <row r="102" ht="14.2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</row>
    <row r="103" ht="14.2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</row>
    <row r="104" ht="14.2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</row>
    <row r="105" ht="14.2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</row>
    <row r="106" ht="14.2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</row>
    <row r="107" ht="14.2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</row>
    <row r="108" ht="14.2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</row>
    <row r="109" ht="14.2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</row>
    <row r="110" ht="14.2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</row>
    <row r="111" ht="14.2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</row>
    <row r="112" ht="14.2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</row>
    <row r="113" ht="14.2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</row>
    <row r="114" ht="14.2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</row>
    <row r="115" ht="14.2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</row>
    <row r="116" ht="14.2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</row>
    <row r="117" ht="14.2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</row>
    <row r="118" ht="14.2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</row>
    <row r="119" ht="14.2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</row>
    <row r="120" ht="14.2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</row>
    <row r="121" ht="14.2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</row>
    <row r="122" ht="14.2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</row>
    <row r="123" ht="14.2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</row>
    <row r="124" ht="14.2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</row>
    <row r="125" ht="14.2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</row>
    <row r="126" ht="14.2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</row>
    <row r="127" ht="14.2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</row>
    <row r="128" ht="14.2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</row>
    <row r="129" ht="14.2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</row>
    <row r="130" ht="14.2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</row>
    <row r="131" ht="14.2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</row>
    <row r="132" ht="14.2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</row>
    <row r="133" ht="14.2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</row>
    <row r="134" ht="14.2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</row>
    <row r="135" ht="14.2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</row>
    <row r="136" ht="14.2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</row>
    <row r="137" ht="14.2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</row>
    <row r="138" ht="14.2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</row>
    <row r="139" ht="14.2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</row>
    <row r="140" ht="14.2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</row>
    <row r="141" ht="14.2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</row>
    <row r="142" ht="14.2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</row>
    <row r="143" ht="14.2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</row>
    <row r="144" ht="14.2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</row>
    <row r="145" ht="14.2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</row>
    <row r="146" ht="14.2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</row>
    <row r="147" ht="14.2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</row>
    <row r="148" ht="14.2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</row>
    <row r="149" ht="14.2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</row>
    <row r="150" ht="14.2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</row>
    <row r="151" ht="14.2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</row>
    <row r="152" ht="14.2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</row>
    <row r="153" ht="14.2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</row>
    <row r="154" ht="14.2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</row>
    <row r="155" ht="14.2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</row>
    <row r="156" ht="14.2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</row>
    <row r="157" ht="14.2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</row>
    <row r="158" ht="14.2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</row>
    <row r="159" ht="14.2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</row>
    <row r="160" ht="14.2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</row>
    <row r="161" ht="14.25" customHeight="1">
      <c r="A161" s="14"/>
      <c r="B161" s="14"/>
      <c r="C161" s="14"/>
      <c r="D161" s="14"/>
      <c r="E161" s="62"/>
      <c r="F161" s="62"/>
      <c r="G161" s="62"/>
      <c r="H161" s="62"/>
      <c r="I161" s="62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</row>
    <row r="162" ht="14.25" customHeight="1">
      <c r="A162" s="14"/>
      <c r="B162" s="14"/>
      <c r="C162" s="14"/>
      <c r="D162" s="62" t="s">
        <v>23</v>
      </c>
      <c r="E162" s="62" t="s">
        <v>12</v>
      </c>
      <c r="F162" s="62" t="s">
        <v>13</v>
      </c>
      <c r="G162" s="62" t="s">
        <v>14</v>
      </c>
      <c r="H162" s="62" t="s">
        <v>15</v>
      </c>
      <c r="I162" s="62" t="s">
        <v>16</v>
      </c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</row>
    <row r="163" ht="14.25" customHeight="1">
      <c r="A163" s="14"/>
      <c r="B163" s="14"/>
      <c r="C163" s="14"/>
      <c r="D163" s="63"/>
      <c r="E163" s="63"/>
      <c r="F163" s="64"/>
      <c r="G163" s="63"/>
      <c r="H163" s="63"/>
      <c r="I163" s="63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</row>
    <row r="164" ht="14.25" customHeight="1">
      <c r="A164" s="14"/>
      <c r="B164" s="14"/>
      <c r="C164" s="14"/>
      <c r="D164" s="63">
        <v>10.0</v>
      </c>
      <c r="E164" s="63"/>
      <c r="F164" s="64">
        <v>2.2</v>
      </c>
      <c r="G164" s="63">
        <v>2.49</v>
      </c>
      <c r="H164" s="63">
        <v>2.41</v>
      </c>
      <c r="I164" s="63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</row>
    <row r="165" ht="14.25" customHeight="1">
      <c r="A165" s="14"/>
      <c r="B165" s="14"/>
      <c r="C165" s="14"/>
      <c r="D165" s="63">
        <v>15.0</v>
      </c>
      <c r="E165" s="63"/>
      <c r="F165" s="64">
        <v>2.3</v>
      </c>
      <c r="G165" s="63">
        <v>2.54</v>
      </c>
      <c r="H165" s="63">
        <v>2.47</v>
      </c>
      <c r="I165" s="63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</row>
    <row r="166" ht="14.25" customHeight="1">
      <c r="A166" s="14"/>
      <c r="B166" s="14"/>
      <c r="C166" s="14"/>
      <c r="D166" s="63">
        <v>20.0</v>
      </c>
      <c r="E166" s="63"/>
      <c r="F166" s="64">
        <v>2.4</v>
      </c>
      <c r="G166" s="63">
        <v>2.59</v>
      </c>
      <c r="H166" s="63">
        <v>2.53</v>
      </c>
      <c r="I166" s="63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</row>
    <row r="167" ht="14.25" customHeight="1">
      <c r="A167" s="14"/>
      <c r="B167" s="14"/>
      <c r="C167" s="14"/>
      <c r="D167" s="14">
        <v>25.0</v>
      </c>
      <c r="E167" s="14"/>
      <c r="F167" s="64">
        <v>2.45</v>
      </c>
      <c r="G167" s="14">
        <v>2.64</v>
      </c>
      <c r="H167" s="14">
        <v>2.59</v>
      </c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</row>
    <row r="168" ht="14.25" customHeight="1">
      <c r="A168" s="14"/>
      <c r="B168" s="14"/>
      <c r="C168" s="14"/>
      <c r="D168" s="14">
        <v>30.0</v>
      </c>
      <c r="E168" s="14"/>
      <c r="F168" s="64">
        <v>2.5</v>
      </c>
      <c r="G168" s="14">
        <v>2.69</v>
      </c>
      <c r="H168" s="14">
        <v>2.67</v>
      </c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</row>
    <row r="169" ht="14.25" customHeight="1">
      <c r="A169" s="14"/>
      <c r="B169" s="14"/>
      <c r="C169" s="14"/>
      <c r="D169" s="14">
        <v>35.0</v>
      </c>
      <c r="E169" s="14"/>
      <c r="F169" s="64">
        <v>2.55</v>
      </c>
      <c r="G169" s="14">
        <v>2.74</v>
      </c>
      <c r="H169" s="14">
        <v>2.76</v>
      </c>
      <c r="I169" s="14"/>
      <c r="J169" s="14"/>
      <c r="K169" s="62"/>
      <c r="L169" s="62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</row>
    <row r="170" ht="14.25" customHeight="1">
      <c r="A170" s="14"/>
      <c r="B170" s="14"/>
      <c r="C170" s="14"/>
      <c r="D170" s="14">
        <v>40.0</v>
      </c>
      <c r="E170" s="14"/>
      <c r="F170" s="67">
        <v>2.6</v>
      </c>
      <c r="G170" s="14">
        <v>2.78</v>
      </c>
      <c r="H170" s="14">
        <v>2.82</v>
      </c>
      <c r="I170" s="14"/>
      <c r="J170" s="62"/>
      <c r="K170" s="62"/>
      <c r="L170" s="62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</row>
    <row r="171" ht="14.25" customHeight="1">
      <c r="A171" s="14"/>
      <c r="B171" s="14"/>
      <c r="C171" s="14"/>
      <c r="D171" s="63">
        <v>45.0</v>
      </c>
      <c r="E171" s="63"/>
      <c r="F171" s="64">
        <v>2.62</v>
      </c>
      <c r="G171" s="63">
        <v>2.82</v>
      </c>
      <c r="H171" s="63">
        <v>2.9</v>
      </c>
      <c r="I171" s="63"/>
      <c r="J171" s="62"/>
      <c r="K171" s="62"/>
      <c r="L171" s="62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</row>
    <row r="172" ht="14.25" customHeight="1">
      <c r="A172" s="14"/>
      <c r="B172" s="14"/>
      <c r="C172" s="14"/>
      <c r="D172" s="63">
        <v>50.0</v>
      </c>
      <c r="E172" s="63"/>
      <c r="F172" s="64">
        <v>2.65</v>
      </c>
      <c r="G172" s="63">
        <v>2.85</v>
      </c>
      <c r="H172" s="63">
        <v>2.98</v>
      </c>
      <c r="I172" s="63"/>
      <c r="J172" s="62"/>
      <c r="K172" s="62"/>
      <c r="L172" s="62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</row>
    <row r="173" ht="14.25" customHeight="1">
      <c r="A173" s="14"/>
      <c r="B173" s="14"/>
      <c r="C173" s="14"/>
      <c r="D173" s="63">
        <v>55.0</v>
      </c>
      <c r="E173" s="63"/>
      <c r="F173" s="64">
        <v>2.67</v>
      </c>
      <c r="G173" s="63">
        <v>2.88</v>
      </c>
      <c r="H173" s="63">
        <v>3.07</v>
      </c>
      <c r="I173" s="63"/>
      <c r="J173" s="62"/>
      <c r="K173" s="62"/>
      <c r="L173" s="62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</row>
    <row r="174" ht="14.25" customHeight="1">
      <c r="A174" s="14"/>
      <c r="B174" s="14"/>
      <c r="C174" s="14"/>
      <c r="D174" s="63">
        <v>60.0</v>
      </c>
      <c r="E174" s="63"/>
      <c r="F174" s="64">
        <v>2.7</v>
      </c>
      <c r="G174" s="63">
        <v>2.91</v>
      </c>
      <c r="H174" s="63">
        <v>3.15</v>
      </c>
      <c r="I174" s="63"/>
      <c r="J174" s="62"/>
      <c r="K174" s="62" t="s">
        <v>23</v>
      </c>
      <c r="L174" s="62" t="s">
        <v>24</v>
      </c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</row>
    <row r="175" ht="14.25" customHeight="1">
      <c r="A175" s="14"/>
      <c r="B175" s="14"/>
      <c r="C175" s="14"/>
      <c r="D175" s="14">
        <v>65.0</v>
      </c>
      <c r="E175" s="14"/>
      <c r="F175" s="14">
        <v>2.72</v>
      </c>
      <c r="G175" s="14">
        <v>2.92</v>
      </c>
      <c r="H175" s="14">
        <v>3.17</v>
      </c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</row>
    <row r="176" ht="14.25" customHeight="1">
      <c r="A176" s="14"/>
      <c r="B176" s="14"/>
      <c r="C176" s="14"/>
      <c r="D176" s="14">
        <v>70.0</v>
      </c>
      <c r="E176" s="14"/>
      <c r="F176" s="14">
        <v>2.73</v>
      </c>
      <c r="G176" s="14">
        <v>2.93</v>
      </c>
      <c r="H176" s="14">
        <v>3.19</v>
      </c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</row>
    <row r="177" ht="14.25" customHeight="1">
      <c r="A177" s="14"/>
      <c r="B177" s="14"/>
      <c r="C177" s="14"/>
      <c r="D177" s="14">
        <v>75.0</v>
      </c>
      <c r="E177" s="14"/>
      <c r="F177" s="14">
        <v>2.74</v>
      </c>
      <c r="G177" s="14">
        <v>2.95</v>
      </c>
      <c r="H177" s="14">
        <v>3.22</v>
      </c>
      <c r="I177" s="14"/>
      <c r="J177" s="62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</row>
    <row r="178" ht="14.25" customHeight="1">
      <c r="A178" s="14"/>
      <c r="B178" s="14"/>
      <c r="C178" s="14"/>
      <c r="D178" s="14">
        <v>80.0</v>
      </c>
      <c r="E178" s="14"/>
      <c r="F178" s="14">
        <v>2.75</v>
      </c>
      <c r="G178" s="14">
        <v>2.96</v>
      </c>
      <c r="H178" s="14">
        <v>3.24</v>
      </c>
      <c r="I178" s="62"/>
      <c r="J178" s="62"/>
      <c r="K178" s="14">
        <v>1.0</v>
      </c>
      <c r="L178" s="14">
        <v>1.0</v>
      </c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</row>
    <row r="179" ht="14.25" customHeight="1">
      <c r="A179" s="14"/>
      <c r="B179" s="14"/>
      <c r="C179" s="14"/>
      <c r="D179" s="63">
        <v>85.0</v>
      </c>
      <c r="E179" s="63"/>
      <c r="F179" s="64">
        <v>2.77</v>
      </c>
      <c r="G179" s="63">
        <v>2.97</v>
      </c>
      <c r="H179" s="63">
        <v>3.24</v>
      </c>
      <c r="I179" s="64"/>
      <c r="J179" s="14"/>
      <c r="K179" s="63"/>
      <c r="L179" s="63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</row>
    <row r="180" ht="14.25" customHeight="1">
      <c r="A180" s="14"/>
      <c r="B180" s="14"/>
      <c r="C180" s="14"/>
      <c r="D180" s="63">
        <v>90.0</v>
      </c>
      <c r="E180" s="63"/>
      <c r="F180" s="64">
        <v>2.78</v>
      </c>
      <c r="G180" s="63">
        <v>2.99</v>
      </c>
      <c r="H180" s="63">
        <v>3.23</v>
      </c>
      <c r="I180" s="64"/>
      <c r="J180" s="14"/>
      <c r="K180" s="63"/>
      <c r="L180" s="63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</row>
    <row r="181" ht="14.25" customHeight="1">
      <c r="A181" s="14"/>
      <c r="B181" s="14"/>
      <c r="C181" s="14"/>
      <c r="D181" s="63">
        <v>95.0</v>
      </c>
      <c r="E181" s="63"/>
      <c r="F181" s="64">
        <v>2.79</v>
      </c>
      <c r="G181" s="63">
        <v>3.01</v>
      </c>
      <c r="H181" s="63">
        <v>3.23</v>
      </c>
      <c r="I181" s="64"/>
      <c r="J181" s="14"/>
      <c r="K181" s="63"/>
      <c r="L181" s="63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</row>
    <row r="182" ht="14.25" customHeight="1">
      <c r="A182" s="14"/>
      <c r="B182" s="14"/>
      <c r="C182" s="14"/>
      <c r="D182" s="63">
        <v>100.0</v>
      </c>
      <c r="E182" s="63">
        <v>2.92</v>
      </c>
      <c r="F182" s="64">
        <v>2.8</v>
      </c>
      <c r="G182" s="63">
        <v>3.02</v>
      </c>
      <c r="H182" s="63">
        <v>3.23</v>
      </c>
      <c r="I182" s="64">
        <v>3.8</v>
      </c>
      <c r="J182" s="14"/>
      <c r="K182" s="63">
        <v>3.0</v>
      </c>
      <c r="L182" s="63">
        <v>1.04</v>
      </c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</row>
    <row r="183" ht="14.25" customHeight="1">
      <c r="A183" s="14"/>
      <c r="B183" s="14"/>
      <c r="C183" s="14"/>
      <c r="D183" s="14">
        <v>105.0</v>
      </c>
      <c r="E183" s="14">
        <v>2.93</v>
      </c>
      <c r="F183" s="14">
        <v>2.81</v>
      </c>
      <c r="G183" s="14">
        <v>3.03</v>
      </c>
      <c r="H183" s="14">
        <v>3.23</v>
      </c>
      <c r="I183" s="64">
        <v>3.8</v>
      </c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</row>
    <row r="184" ht="14.25" customHeight="1">
      <c r="A184" s="14"/>
      <c r="B184" s="14"/>
      <c r="C184" s="14"/>
      <c r="D184" s="14">
        <v>110.0</v>
      </c>
      <c r="E184" s="14">
        <v>2.95</v>
      </c>
      <c r="F184" s="14">
        <v>2.83</v>
      </c>
      <c r="G184" s="14">
        <v>3.04</v>
      </c>
      <c r="H184" s="14">
        <v>3.22</v>
      </c>
      <c r="I184" s="64">
        <v>3.8</v>
      </c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</row>
    <row r="185" ht="14.25" customHeight="1">
      <c r="A185" s="14"/>
      <c r="B185" s="14"/>
      <c r="C185" s="14"/>
      <c r="D185" s="14">
        <v>115.0</v>
      </c>
      <c r="E185" s="14">
        <v>2.97</v>
      </c>
      <c r="F185" s="14">
        <v>2.84</v>
      </c>
      <c r="G185" s="14">
        <v>3.06</v>
      </c>
      <c r="H185" s="14">
        <v>3.21</v>
      </c>
      <c r="I185" s="64">
        <v>3.8</v>
      </c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</row>
    <row r="186" ht="14.25" customHeight="1">
      <c r="A186" s="14"/>
      <c r="B186" s="14"/>
      <c r="C186" s="14"/>
      <c r="D186" s="14">
        <v>120.0</v>
      </c>
      <c r="E186" s="14">
        <v>2.99</v>
      </c>
      <c r="F186" s="14">
        <v>2.85</v>
      </c>
      <c r="G186" s="14">
        <v>3.08</v>
      </c>
      <c r="H186" s="14">
        <v>3.21</v>
      </c>
      <c r="I186" s="14">
        <v>3.78</v>
      </c>
      <c r="J186" s="14"/>
      <c r="K186" s="14">
        <v>4.0</v>
      </c>
      <c r="L186" s="14">
        <v>1.13</v>
      </c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</row>
    <row r="187" ht="14.25" customHeight="1">
      <c r="A187" s="14"/>
      <c r="B187" s="14"/>
      <c r="C187" s="14"/>
      <c r="D187" s="14">
        <v>125.0</v>
      </c>
      <c r="E187" s="63">
        <v>2.99</v>
      </c>
      <c r="F187" s="63">
        <v>2.86</v>
      </c>
      <c r="G187" s="63">
        <v>3.09</v>
      </c>
      <c r="H187" s="63">
        <v>3.21</v>
      </c>
      <c r="I187" s="14">
        <v>3.78</v>
      </c>
      <c r="J187" s="14"/>
      <c r="K187" s="63"/>
      <c r="L187" s="63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</row>
    <row r="188" ht="14.25" customHeight="1">
      <c r="A188" s="14"/>
      <c r="B188" s="14"/>
      <c r="C188" s="14"/>
      <c r="D188" s="63">
        <v>130.0</v>
      </c>
      <c r="E188" s="63">
        <v>2.97</v>
      </c>
      <c r="F188" s="63">
        <v>2.88</v>
      </c>
      <c r="G188" s="63">
        <v>3.11</v>
      </c>
      <c r="H188" s="63">
        <v>3.21</v>
      </c>
      <c r="I188" s="14">
        <v>3.78</v>
      </c>
      <c r="J188" s="14"/>
      <c r="K188" s="63"/>
      <c r="L188" s="63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</row>
    <row r="189" ht="14.25" customHeight="1">
      <c r="A189" s="14"/>
      <c r="B189" s="14"/>
      <c r="C189" s="14"/>
      <c r="D189" s="63">
        <v>135.0</v>
      </c>
      <c r="E189" s="63">
        <v>2.97</v>
      </c>
      <c r="F189" s="63">
        <v>2.9</v>
      </c>
      <c r="G189" s="63">
        <v>3.13</v>
      </c>
      <c r="H189" s="63">
        <v>3.22</v>
      </c>
      <c r="I189" s="14">
        <v>3.78</v>
      </c>
      <c r="J189" s="14"/>
      <c r="K189" s="63"/>
      <c r="L189" s="63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</row>
    <row r="190" ht="14.25" customHeight="1">
      <c r="A190" s="14"/>
      <c r="B190" s="14"/>
      <c r="C190" s="14"/>
      <c r="D190" s="63">
        <v>140.0</v>
      </c>
      <c r="E190" s="63">
        <v>2.97</v>
      </c>
      <c r="F190" s="63">
        <v>2.91</v>
      </c>
      <c r="G190" s="63">
        <v>3.15</v>
      </c>
      <c r="H190" s="63">
        <v>3.22</v>
      </c>
      <c r="I190" s="63">
        <v>3.8</v>
      </c>
      <c r="J190" s="14"/>
      <c r="K190" s="63">
        <v>5.0</v>
      </c>
      <c r="L190" s="63">
        <v>1.23</v>
      </c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</row>
    <row r="191" ht="14.25" customHeight="1">
      <c r="A191" s="14"/>
      <c r="B191" s="14"/>
      <c r="C191" s="14"/>
      <c r="D191" s="63">
        <v>145.0</v>
      </c>
      <c r="E191" s="14">
        <v>2.97</v>
      </c>
      <c r="F191" s="14">
        <v>2.93</v>
      </c>
      <c r="G191" s="14">
        <v>3.17</v>
      </c>
      <c r="H191" s="14">
        <v>3.23</v>
      </c>
      <c r="I191" s="63">
        <v>3.8</v>
      </c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</row>
    <row r="192" ht="14.25" customHeight="1">
      <c r="A192" s="14"/>
      <c r="B192" s="14"/>
      <c r="C192" s="14"/>
      <c r="D192" s="14">
        <v>150.0</v>
      </c>
      <c r="E192" s="14">
        <v>2.99</v>
      </c>
      <c r="F192" s="14">
        <v>2.95</v>
      </c>
      <c r="G192" s="14">
        <v>3.19</v>
      </c>
      <c r="H192" s="14">
        <v>3.25</v>
      </c>
      <c r="I192" s="63">
        <v>3.8</v>
      </c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</row>
    <row r="193" ht="14.25" customHeight="1">
      <c r="A193" s="14"/>
      <c r="B193" s="14"/>
      <c r="C193" s="14"/>
      <c r="D193" s="14">
        <v>155.0</v>
      </c>
      <c r="E193" s="14">
        <v>2.99</v>
      </c>
      <c r="F193" s="14">
        <v>2.97</v>
      </c>
      <c r="G193" s="14">
        <v>3.21</v>
      </c>
      <c r="H193" s="14">
        <v>3.26</v>
      </c>
      <c r="I193" s="63">
        <v>3.8</v>
      </c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</row>
    <row r="194" ht="14.25" customHeight="1">
      <c r="A194" s="14"/>
      <c r="B194" s="14"/>
      <c r="C194" s="14"/>
      <c r="D194" s="14">
        <v>160.0</v>
      </c>
      <c r="E194" s="14">
        <v>2.99</v>
      </c>
      <c r="F194" s="14">
        <v>2.98</v>
      </c>
      <c r="G194" s="14">
        <v>3.23</v>
      </c>
      <c r="H194" s="14">
        <v>3.28</v>
      </c>
      <c r="I194" s="14">
        <v>3.81</v>
      </c>
      <c r="J194" s="14"/>
      <c r="K194" s="14">
        <v>6.0</v>
      </c>
      <c r="L194" s="14">
        <v>1.34</v>
      </c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</row>
    <row r="195" ht="14.25" customHeight="1">
      <c r="A195" s="14"/>
      <c r="B195" s="14"/>
      <c r="C195" s="14"/>
      <c r="D195" s="14">
        <v>165.0</v>
      </c>
      <c r="E195" s="63">
        <v>3.01</v>
      </c>
      <c r="F195" s="63">
        <v>3.0</v>
      </c>
      <c r="G195" s="63">
        <v>3.25</v>
      </c>
      <c r="H195" s="64">
        <v>3.3</v>
      </c>
      <c r="I195" s="14">
        <v>3.81</v>
      </c>
      <c r="J195" s="14"/>
      <c r="K195" s="63"/>
      <c r="L195" s="63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</row>
    <row r="196" ht="14.25" customHeight="1">
      <c r="A196" s="14"/>
      <c r="B196" s="14"/>
      <c r="C196" s="14"/>
      <c r="D196" s="14">
        <v>170.0</v>
      </c>
      <c r="E196" s="63">
        <v>3.02</v>
      </c>
      <c r="F196" s="63">
        <v>3.03</v>
      </c>
      <c r="G196" s="63">
        <v>3.27</v>
      </c>
      <c r="H196" s="64">
        <v>3.33</v>
      </c>
      <c r="I196" s="14">
        <v>3.81</v>
      </c>
      <c r="J196" s="14"/>
      <c r="K196" s="63"/>
      <c r="L196" s="63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</row>
    <row r="197" ht="14.25" customHeight="1">
      <c r="A197" s="14"/>
      <c r="B197" s="14"/>
      <c r="C197" s="14"/>
      <c r="D197" s="63">
        <v>175.0</v>
      </c>
      <c r="E197" s="63">
        <v>3.04</v>
      </c>
      <c r="F197" s="63">
        <v>3.06</v>
      </c>
      <c r="G197" s="63">
        <v>3.29</v>
      </c>
      <c r="H197" s="64">
        <v>3.36</v>
      </c>
      <c r="I197" s="63">
        <v>3.81</v>
      </c>
      <c r="J197" s="14"/>
      <c r="K197" s="63"/>
      <c r="L197" s="63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</row>
    <row r="198" ht="14.25" customHeight="1">
      <c r="A198" s="14"/>
      <c r="B198" s="14"/>
      <c r="C198" s="14"/>
      <c r="D198" s="63">
        <v>180.0</v>
      </c>
      <c r="E198" s="63">
        <v>3.05</v>
      </c>
      <c r="F198" s="63">
        <v>3.08</v>
      </c>
      <c r="G198" s="63">
        <v>3.31</v>
      </c>
      <c r="H198" s="64">
        <v>3.4</v>
      </c>
      <c r="I198" s="63">
        <v>3.82</v>
      </c>
      <c r="J198" s="14"/>
      <c r="K198" s="63">
        <v>7.0</v>
      </c>
      <c r="L198" s="63">
        <v>1.42</v>
      </c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</row>
    <row r="199" ht="14.25" customHeight="1">
      <c r="A199" s="14"/>
      <c r="B199" s="14"/>
      <c r="C199" s="14"/>
      <c r="D199" s="63">
        <v>185.0</v>
      </c>
      <c r="E199" s="14">
        <v>3.07</v>
      </c>
      <c r="F199" s="14">
        <v>3.11</v>
      </c>
      <c r="G199" s="14">
        <v>3.34</v>
      </c>
      <c r="H199" s="14">
        <v>3.43</v>
      </c>
      <c r="I199" s="14">
        <v>3.83</v>
      </c>
      <c r="J199" s="14"/>
      <c r="K199" s="14"/>
      <c r="L199" s="67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</row>
    <row r="200" ht="14.25" customHeight="1">
      <c r="A200" s="14"/>
      <c r="B200" s="14"/>
      <c r="C200" s="14"/>
      <c r="D200" s="63">
        <v>190.0</v>
      </c>
      <c r="E200" s="14">
        <v>3.09</v>
      </c>
      <c r="F200" s="14">
        <v>3.13</v>
      </c>
      <c r="G200" s="14">
        <v>3.37</v>
      </c>
      <c r="H200" s="14">
        <v>3.47</v>
      </c>
      <c r="I200" s="14">
        <v>3.84</v>
      </c>
      <c r="J200" s="14"/>
      <c r="K200" s="14"/>
      <c r="L200" s="67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</row>
    <row r="201" ht="14.25" customHeight="1">
      <c r="A201" s="14"/>
      <c r="B201" s="14"/>
      <c r="C201" s="14"/>
      <c r="D201" s="14">
        <v>195.0</v>
      </c>
      <c r="E201" s="14">
        <v>3.11</v>
      </c>
      <c r="F201" s="14">
        <v>3.16</v>
      </c>
      <c r="G201" s="14">
        <v>3.4</v>
      </c>
      <c r="H201" s="14">
        <v>3.51</v>
      </c>
      <c r="I201" s="14">
        <v>3.86</v>
      </c>
      <c r="J201" s="14"/>
      <c r="K201" s="14"/>
      <c r="L201" s="67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</row>
    <row r="202" ht="14.25" customHeight="1">
      <c r="A202" s="14"/>
      <c r="B202" s="14"/>
      <c r="C202" s="14"/>
      <c r="D202" s="14">
        <v>200.0</v>
      </c>
      <c r="E202" s="14">
        <v>3.12</v>
      </c>
      <c r="F202" s="14">
        <v>3.19</v>
      </c>
      <c r="G202" s="14">
        <v>3.42</v>
      </c>
      <c r="H202" s="14">
        <v>3.55</v>
      </c>
      <c r="I202" s="14">
        <v>3.87</v>
      </c>
      <c r="J202" s="14"/>
      <c r="K202" s="14">
        <v>8.0</v>
      </c>
      <c r="L202" s="67">
        <v>1.5</v>
      </c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</row>
    <row r="203" ht="14.25" customHeight="1">
      <c r="A203" s="14"/>
      <c r="B203" s="14"/>
      <c r="C203" s="14"/>
      <c r="D203" s="63">
        <v>210.0</v>
      </c>
      <c r="E203" s="63">
        <v>3.14</v>
      </c>
      <c r="F203" s="63">
        <v>3.26</v>
      </c>
      <c r="G203" s="63">
        <v>3.48</v>
      </c>
      <c r="H203" s="64">
        <v>3.62</v>
      </c>
      <c r="I203" s="63">
        <v>3.89</v>
      </c>
      <c r="J203" s="14"/>
      <c r="K203" s="63"/>
      <c r="L203" s="63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</row>
    <row r="204" ht="14.25" customHeight="1">
      <c r="A204" s="14"/>
      <c r="B204" s="14"/>
      <c r="C204" s="14"/>
      <c r="D204" s="63">
        <v>220.0</v>
      </c>
      <c r="E204" s="63">
        <v>3.17</v>
      </c>
      <c r="F204" s="63">
        <v>3.32</v>
      </c>
      <c r="G204" s="63">
        <v>3.53</v>
      </c>
      <c r="H204" s="64">
        <v>3.7</v>
      </c>
      <c r="I204" s="63">
        <v>3.92</v>
      </c>
      <c r="J204" s="14"/>
      <c r="K204" s="63">
        <v>9.0</v>
      </c>
      <c r="L204" s="63">
        <v>1.56</v>
      </c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</row>
    <row r="205" ht="14.25" customHeight="1">
      <c r="A205" s="14"/>
      <c r="B205" s="14"/>
      <c r="C205" s="14"/>
      <c r="D205" s="14">
        <v>230.0</v>
      </c>
      <c r="E205" s="14">
        <v>3.21</v>
      </c>
      <c r="F205" s="14">
        <v>3.39</v>
      </c>
      <c r="G205" s="14">
        <v>3.8</v>
      </c>
      <c r="H205" s="14">
        <v>3.77</v>
      </c>
      <c r="I205" s="14">
        <v>3.95</v>
      </c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</row>
    <row r="206" ht="14.25" customHeight="1">
      <c r="A206" s="14"/>
      <c r="B206" s="14"/>
      <c r="C206" s="14"/>
      <c r="D206" s="14">
        <v>240.0</v>
      </c>
      <c r="E206" s="14">
        <v>3.25</v>
      </c>
      <c r="F206" s="14">
        <v>3.45</v>
      </c>
      <c r="G206" s="14">
        <v>3.64</v>
      </c>
      <c r="H206" s="14">
        <v>3.84</v>
      </c>
      <c r="I206" s="14">
        <v>3.97</v>
      </c>
      <c r="J206" s="14"/>
      <c r="K206" s="14">
        <v>10.0</v>
      </c>
      <c r="L206" s="14">
        <v>1.61</v>
      </c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</row>
    <row r="207" ht="14.25" customHeight="1">
      <c r="A207" s="14"/>
      <c r="B207" s="14"/>
      <c r="C207" s="14"/>
      <c r="D207" s="63">
        <v>250.0</v>
      </c>
      <c r="E207" s="63">
        <v>3.35</v>
      </c>
      <c r="F207" s="63">
        <v>3.52</v>
      </c>
      <c r="G207" s="63">
        <v>3.69</v>
      </c>
      <c r="H207" s="63">
        <v>3.88</v>
      </c>
      <c r="I207" s="63">
        <v>4.0</v>
      </c>
      <c r="J207" s="14"/>
      <c r="K207" s="63"/>
      <c r="L207" s="63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</row>
    <row r="208" ht="14.25" customHeight="1">
      <c r="A208" s="14"/>
      <c r="B208" s="14"/>
      <c r="C208" s="14"/>
      <c r="D208" s="63">
        <v>260.0</v>
      </c>
      <c r="E208" s="63">
        <v>3.45</v>
      </c>
      <c r="F208" s="63">
        <v>3.58</v>
      </c>
      <c r="G208" s="63">
        <v>3.74</v>
      </c>
      <c r="H208" s="63">
        <v>3.93</v>
      </c>
      <c r="I208" s="63">
        <v>4.03</v>
      </c>
      <c r="J208" s="14"/>
      <c r="K208" s="63">
        <v>15.0</v>
      </c>
      <c r="L208" s="63">
        <v>1.78</v>
      </c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</row>
    <row r="209" ht="14.25" customHeight="1">
      <c r="A209" s="14"/>
      <c r="B209" s="14"/>
      <c r="C209" s="14"/>
      <c r="D209" s="14">
        <v>270.0</v>
      </c>
      <c r="E209" s="14">
        <v>3.55</v>
      </c>
      <c r="F209" s="14">
        <v>3.63</v>
      </c>
      <c r="G209" s="14">
        <v>3.78</v>
      </c>
      <c r="H209" s="67">
        <v>3.96</v>
      </c>
      <c r="I209" s="67">
        <v>4.07</v>
      </c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</row>
    <row r="210" ht="14.25" customHeight="1">
      <c r="A210" s="14"/>
      <c r="B210" s="14"/>
      <c r="C210" s="14"/>
      <c r="D210" s="14">
        <v>280.0</v>
      </c>
      <c r="E210" s="14">
        <v>3.65</v>
      </c>
      <c r="F210" s="14">
        <v>3.69</v>
      </c>
      <c r="G210" s="14">
        <v>3.83</v>
      </c>
      <c r="H210" s="67">
        <v>4.0</v>
      </c>
      <c r="I210" s="67">
        <v>4.1</v>
      </c>
      <c r="J210" s="14"/>
      <c r="K210" s="14">
        <v>20.0</v>
      </c>
      <c r="L210" s="14">
        <v>1.87</v>
      </c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</row>
    <row r="211" ht="14.25" customHeight="1">
      <c r="A211" s="14"/>
      <c r="B211" s="14"/>
      <c r="C211" s="14"/>
      <c r="D211" s="63">
        <v>290.0</v>
      </c>
      <c r="E211" s="63">
        <v>3.68</v>
      </c>
      <c r="F211" s="63">
        <v>3.74</v>
      </c>
      <c r="G211" s="64">
        <v>3.87</v>
      </c>
      <c r="H211" s="63">
        <v>4.02</v>
      </c>
      <c r="I211" s="64">
        <v>4.15</v>
      </c>
      <c r="J211" s="14"/>
      <c r="K211" s="63"/>
      <c r="L211" s="63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</row>
    <row r="212" ht="14.25" customHeight="1">
      <c r="A212" s="14"/>
      <c r="B212" s="14"/>
      <c r="C212" s="14"/>
      <c r="D212" s="63">
        <v>300.0</v>
      </c>
      <c r="E212" s="63">
        <v>3.71</v>
      </c>
      <c r="F212" s="63">
        <v>3.78</v>
      </c>
      <c r="G212" s="64">
        <v>3.9</v>
      </c>
      <c r="H212" s="63">
        <v>4.04</v>
      </c>
      <c r="I212" s="64">
        <v>4.2</v>
      </c>
      <c r="J212" s="14"/>
      <c r="K212" s="63">
        <v>30.0</v>
      </c>
      <c r="L212" s="63">
        <v>1.98</v>
      </c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</row>
    <row r="213" ht="14.25" customHeight="1">
      <c r="A213" s="14"/>
      <c r="B213" s="14"/>
      <c r="C213" s="14"/>
      <c r="D213" s="14">
        <v>320.0</v>
      </c>
      <c r="E213" s="14">
        <v>3.79</v>
      </c>
      <c r="F213" s="14">
        <v>3.84</v>
      </c>
      <c r="G213" s="14">
        <v>3.95</v>
      </c>
      <c r="H213" s="14">
        <v>4.12</v>
      </c>
      <c r="I213" s="14">
        <v>4.31</v>
      </c>
      <c r="J213" s="14"/>
      <c r="K213" s="14">
        <v>40.0</v>
      </c>
      <c r="L213" s="14">
        <v>2.06</v>
      </c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</row>
    <row r="214" ht="14.25" customHeight="1">
      <c r="A214" s="14"/>
      <c r="B214" s="14"/>
      <c r="C214" s="14"/>
      <c r="D214" s="63">
        <v>340.0</v>
      </c>
      <c r="E214" s="63">
        <v>3.86</v>
      </c>
      <c r="F214" s="63">
        <v>3.88</v>
      </c>
      <c r="G214" s="63">
        <v>4.02</v>
      </c>
      <c r="H214" s="63">
        <v>4.26</v>
      </c>
      <c r="I214" s="63">
        <v>4.44</v>
      </c>
      <c r="J214" s="14"/>
      <c r="K214" s="63">
        <v>50.0</v>
      </c>
      <c r="L214" s="63">
        <v>2.14</v>
      </c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</row>
    <row r="215" ht="14.25" customHeight="1">
      <c r="A215" s="14"/>
      <c r="B215" s="14"/>
      <c r="C215" s="14"/>
      <c r="D215" s="14">
        <v>360.0</v>
      </c>
      <c r="E215" s="14">
        <v>3.92</v>
      </c>
      <c r="F215" s="14">
        <v>3.95</v>
      </c>
      <c r="G215" s="14">
        <v>4.11</v>
      </c>
      <c r="H215" s="14">
        <v>4.41</v>
      </c>
      <c r="I215" s="14">
        <v>4.56</v>
      </c>
      <c r="J215" s="14"/>
      <c r="K215" s="14">
        <v>60.0</v>
      </c>
      <c r="L215" s="14">
        <v>2.21</v>
      </c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</row>
    <row r="216" ht="14.25" customHeight="1">
      <c r="A216" s="14"/>
      <c r="B216" s="14"/>
      <c r="C216" s="14"/>
      <c r="D216" s="63">
        <v>380.0</v>
      </c>
      <c r="E216" s="63">
        <v>3.96</v>
      </c>
      <c r="F216" s="63">
        <v>4.03</v>
      </c>
      <c r="G216" s="63">
        <v>4.21</v>
      </c>
      <c r="H216" s="63">
        <v>4.55</v>
      </c>
      <c r="I216" s="63">
        <v>4.66</v>
      </c>
      <c r="J216" s="14"/>
      <c r="K216" s="63">
        <v>90.0</v>
      </c>
      <c r="L216" s="64">
        <v>2.4</v>
      </c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</row>
    <row r="217" ht="14.25" customHeight="1">
      <c r="A217" s="14"/>
      <c r="B217" s="14"/>
      <c r="C217" s="14"/>
      <c r="D217" s="14">
        <v>400.0</v>
      </c>
      <c r="E217" s="14">
        <v>3.99</v>
      </c>
      <c r="F217" s="14">
        <v>4.11</v>
      </c>
      <c r="G217" s="67">
        <v>4.3</v>
      </c>
      <c r="H217" s="14">
        <v>4.69</v>
      </c>
      <c r="I217" s="14">
        <v>4.75</v>
      </c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</row>
    <row r="218" ht="14.25" customHeight="1">
      <c r="A218" s="14"/>
      <c r="B218" s="14"/>
      <c r="C218" s="14"/>
      <c r="D218" s="63">
        <v>420.0</v>
      </c>
      <c r="E218" s="63">
        <v>4.02</v>
      </c>
      <c r="F218" s="63">
        <v>4.15</v>
      </c>
      <c r="G218" s="63">
        <v>4.34</v>
      </c>
      <c r="H218" s="63">
        <v>4.73</v>
      </c>
      <c r="I218" s="63">
        <v>4.79</v>
      </c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</row>
    <row r="219" ht="14.25" customHeight="1">
      <c r="A219" s="14"/>
      <c r="B219" s="14"/>
      <c r="C219" s="14"/>
      <c r="D219" s="14">
        <v>440.0</v>
      </c>
      <c r="E219" s="14">
        <v>4.08</v>
      </c>
      <c r="F219" s="67">
        <v>4.2</v>
      </c>
      <c r="G219" s="14">
        <v>4.39</v>
      </c>
      <c r="H219" s="14">
        <v>4.78</v>
      </c>
      <c r="I219" s="14">
        <v>4.84</v>
      </c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</row>
    <row r="220" ht="14.25" customHeight="1">
      <c r="A220" s="14"/>
      <c r="B220" s="14"/>
      <c r="C220" s="14"/>
      <c r="D220" s="63">
        <v>460.0</v>
      </c>
      <c r="E220" s="63">
        <v>4.17</v>
      </c>
      <c r="F220" s="63">
        <v>4.29</v>
      </c>
      <c r="G220" s="63">
        <v>4.48</v>
      </c>
      <c r="H220" s="63">
        <v>4.87</v>
      </c>
      <c r="I220" s="63">
        <v>4.93</v>
      </c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</row>
    <row r="221" ht="14.25" customHeight="1">
      <c r="A221" s="14"/>
      <c r="B221" s="14"/>
      <c r="C221" s="14"/>
      <c r="D221" s="14">
        <v>480.0</v>
      </c>
      <c r="E221" s="14">
        <v>4.28</v>
      </c>
      <c r="F221" s="67">
        <v>4.4</v>
      </c>
      <c r="G221" s="14">
        <v>4.59</v>
      </c>
      <c r="H221" s="14">
        <v>4.98</v>
      </c>
      <c r="I221" s="14">
        <v>5.04</v>
      </c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</row>
    <row r="222" ht="14.25" customHeight="1">
      <c r="A222" s="14"/>
      <c r="B222" s="14"/>
      <c r="C222" s="14"/>
      <c r="D222" s="63">
        <v>500.0</v>
      </c>
      <c r="E222" s="63">
        <v>4.41</v>
      </c>
      <c r="F222" s="63">
        <v>4.53</v>
      </c>
      <c r="G222" s="63">
        <v>4.72</v>
      </c>
      <c r="H222" s="63">
        <v>5.11</v>
      </c>
      <c r="I222" s="63">
        <v>5.17</v>
      </c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</row>
    <row r="223" ht="14.25" customHeight="1">
      <c r="A223" s="14"/>
      <c r="B223" s="14"/>
      <c r="C223" s="14"/>
      <c r="D223" s="14">
        <v>520.0</v>
      </c>
      <c r="E223" s="14">
        <v>4.54</v>
      </c>
      <c r="F223" s="14">
        <v>4.85</v>
      </c>
      <c r="G223" s="14">
        <v>4.85</v>
      </c>
      <c r="H223" s="14">
        <v>5.24</v>
      </c>
      <c r="I223" s="67">
        <v>5.3</v>
      </c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</row>
    <row r="224" ht="14.25" customHeight="1">
      <c r="A224" s="14"/>
      <c r="B224" s="14"/>
      <c r="C224" s="14"/>
      <c r="D224" s="63">
        <v>540.0</v>
      </c>
      <c r="E224" s="63">
        <v>4.65</v>
      </c>
      <c r="F224" s="63">
        <v>4.97</v>
      </c>
      <c r="G224" s="63">
        <v>4.97</v>
      </c>
      <c r="H224" s="63">
        <v>5.36</v>
      </c>
      <c r="I224" s="63">
        <v>5.42</v>
      </c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</row>
    <row r="225" ht="14.25" customHeight="1">
      <c r="A225" s="14"/>
      <c r="B225" s="14"/>
      <c r="C225" s="14"/>
      <c r="D225" s="14">
        <v>560.0</v>
      </c>
      <c r="E225" s="14">
        <v>4.74</v>
      </c>
      <c r="F225" s="14">
        <v>5.05</v>
      </c>
      <c r="G225" s="14">
        <v>5.05</v>
      </c>
      <c r="H225" s="14">
        <v>5.44</v>
      </c>
      <c r="I225" s="67">
        <v>5.5</v>
      </c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</row>
    <row r="226" ht="14.25" customHeight="1">
      <c r="A226" s="14"/>
      <c r="B226" s="14"/>
      <c r="C226" s="14"/>
      <c r="D226" s="63">
        <v>580.0</v>
      </c>
      <c r="E226" s="63">
        <v>4.79</v>
      </c>
      <c r="F226" s="64">
        <v>5.1</v>
      </c>
      <c r="G226" s="64">
        <v>5.1</v>
      </c>
      <c r="H226" s="63">
        <v>5.49</v>
      </c>
      <c r="I226" s="63">
        <v>5.55</v>
      </c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</row>
    <row r="227" ht="14.25" customHeight="1">
      <c r="A227" s="14"/>
      <c r="B227" s="14"/>
      <c r="C227" s="14"/>
      <c r="D227" s="14">
        <v>600.0</v>
      </c>
      <c r="E227" s="14">
        <v>4.82</v>
      </c>
      <c r="F227" s="14">
        <v>5.13</v>
      </c>
      <c r="G227" s="14">
        <v>5.13</v>
      </c>
      <c r="H227" s="14">
        <v>5.52</v>
      </c>
      <c r="I227" s="14">
        <v>5.58</v>
      </c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</row>
    <row r="228" ht="14.2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</row>
    <row r="229" ht="14.2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</row>
    <row r="230" ht="14.2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</row>
    <row r="231" ht="14.2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</row>
    <row r="232" ht="14.2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</row>
    <row r="233" ht="14.2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</row>
    <row r="234" ht="14.2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</row>
    <row r="235" ht="14.2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</row>
    <row r="236" ht="14.2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</row>
    <row r="237" ht="14.2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</row>
    <row r="238" ht="14.2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</row>
    <row r="239" ht="14.2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</row>
    <row r="240" ht="14.2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</row>
    <row r="241" ht="14.2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</row>
    <row r="242" ht="14.2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</row>
    <row r="243" ht="14.2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</row>
    <row r="244" ht="14.2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</row>
    <row r="245" ht="14.2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</row>
    <row r="246" ht="14.2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</row>
    <row r="247" ht="14.2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</row>
    <row r="248" ht="14.2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</row>
    <row r="249" ht="14.2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</row>
    <row r="250" ht="14.2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</row>
    <row r="251" ht="14.2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</row>
    <row r="252" ht="14.2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</row>
    <row r="253" ht="14.2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</row>
    <row r="254" ht="14.2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</row>
    <row r="255" ht="14.2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</row>
    <row r="256" ht="14.2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</row>
    <row r="257" ht="14.2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</row>
    <row r="258" ht="14.2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</row>
    <row r="259" ht="14.2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</row>
    <row r="260" ht="14.2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</row>
    <row r="261" ht="14.2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</row>
    <row r="262" ht="14.2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</row>
    <row r="263" ht="14.2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</row>
    <row r="264" ht="14.2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</row>
    <row r="265" ht="14.2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</row>
    <row r="266" ht="14.2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</row>
    <row r="267" ht="14.2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</row>
    <row r="268" ht="14.2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</row>
    <row r="269" ht="14.2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</row>
    <row r="270" ht="14.2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</row>
    <row r="271" ht="14.2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</row>
    <row r="272" ht="14.2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</row>
    <row r="273" ht="14.2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</row>
    <row r="274" ht="14.2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</row>
    <row r="275" ht="14.2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</row>
    <row r="276" ht="14.2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</row>
    <row r="277" ht="14.2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</row>
    <row r="278" ht="14.2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</row>
    <row r="279" ht="14.2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</row>
    <row r="280" ht="14.2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</row>
    <row r="281" ht="14.2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</row>
    <row r="282" ht="14.2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</row>
    <row r="283" ht="14.2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</row>
    <row r="284" ht="14.2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</row>
    <row r="285" ht="14.2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</row>
    <row r="286" ht="14.2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</row>
    <row r="287" ht="14.2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</row>
    <row r="288" ht="14.2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</row>
    <row r="289" ht="14.2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</row>
    <row r="290" ht="14.2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</row>
    <row r="291" ht="14.2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</row>
    <row r="292" ht="14.2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</row>
    <row r="293" ht="14.2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</row>
    <row r="294" ht="14.2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</row>
    <row r="295" ht="14.2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</row>
    <row r="296" ht="14.2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</row>
    <row r="297" ht="14.2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</row>
    <row r="298" ht="14.2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</row>
    <row r="299" ht="14.2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</row>
    <row r="300" ht="14.2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</row>
    <row r="301" ht="14.2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</row>
    <row r="302" ht="14.2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</row>
    <row r="303" ht="14.2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</row>
    <row r="304" ht="14.2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</row>
    <row r="305" ht="14.2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</row>
    <row r="306" ht="14.2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</row>
    <row r="307" ht="14.2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</row>
    <row r="308" ht="14.2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</row>
    <row r="309" ht="14.2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</row>
    <row r="310" ht="14.2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</row>
    <row r="311" ht="14.2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</row>
    <row r="312" ht="14.2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</row>
    <row r="313" ht="14.2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</row>
    <row r="314" ht="14.2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</row>
    <row r="315" ht="14.2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</row>
    <row r="316" ht="14.2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</row>
    <row r="317" ht="14.2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</row>
    <row r="318" ht="14.2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</row>
    <row r="319" ht="14.2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</row>
    <row r="320" ht="14.2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</row>
    <row r="321" ht="14.2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</row>
    <row r="322" ht="14.2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</row>
    <row r="323" ht="14.2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</row>
    <row r="324" ht="14.2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</row>
    <row r="325" ht="14.2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</row>
    <row r="326" ht="14.2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</row>
    <row r="327" ht="14.2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</row>
    <row r="328" ht="14.2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</row>
    <row r="329" ht="14.2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</row>
    <row r="330" ht="14.2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</row>
    <row r="331" ht="14.2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</row>
    <row r="332" ht="14.2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</row>
    <row r="333" ht="14.2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</row>
    <row r="334" ht="14.2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</row>
    <row r="335" ht="14.2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</row>
    <row r="336" ht="14.2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</row>
    <row r="337" ht="14.2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</row>
    <row r="338" ht="14.2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</row>
    <row r="339" ht="14.2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</row>
    <row r="340" ht="14.2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</row>
    <row r="341" ht="14.2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</row>
    <row r="342" ht="14.2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</row>
    <row r="343" ht="14.2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</row>
    <row r="344" ht="14.2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</row>
    <row r="345" ht="14.2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</row>
    <row r="346" ht="14.2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</row>
    <row r="347" ht="14.2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</row>
    <row r="348" ht="14.2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</row>
    <row r="349" ht="14.2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</row>
    <row r="350" ht="14.2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</row>
    <row r="351" ht="14.2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</row>
    <row r="352" ht="14.2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</row>
    <row r="353" ht="14.2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</row>
    <row r="354" ht="14.2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</row>
    <row r="355" ht="14.2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</row>
    <row r="356" ht="14.2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</row>
    <row r="357" ht="14.2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</row>
    <row r="358" ht="14.2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</row>
    <row r="359" ht="14.2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</row>
    <row r="360" ht="14.2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</row>
    <row r="361" ht="14.2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</row>
    <row r="362" ht="14.2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</row>
    <row r="363" ht="14.2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</row>
    <row r="364" ht="14.2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</row>
    <row r="365" ht="14.2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</row>
    <row r="366" ht="14.2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</row>
    <row r="367" ht="14.2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</row>
    <row r="368" ht="14.2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</row>
    <row r="369" ht="14.2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</row>
    <row r="370" ht="14.2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</row>
    <row r="371" ht="14.2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</row>
    <row r="372" ht="14.2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</row>
    <row r="373" ht="14.2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</row>
    <row r="374" ht="14.2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</row>
    <row r="375" ht="14.2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</row>
    <row r="376" ht="14.2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</row>
    <row r="377" ht="14.2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</row>
    <row r="378" ht="14.2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</row>
    <row r="379" ht="14.2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</row>
    <row r="380" ht="14.2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</row>
    <row r="381" ht="14.2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</row>
    <row r="382" ht="14.2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</row>
    <row r="383" ht="14.2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</row>
    <row r="384" ht="14.2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</row>
    <row r="385" ht="14.2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</row>
    <row r="386" ht="14.2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</row>
    <row r="387" ht="14.2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</row>
    <row r="388" ht="14.2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</row>
    <row r="389" ht="14.2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</row>
    <row r="390" ht="14.2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</row>
    <row r="391" ht="14.2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</row>
    <row r="392" ht="14.2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</row>
    <row r="393" ht="14.2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</row>
    <row r="394" ht="14.2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</row>
    <row r="395" ht="14.2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</row>
    <row r="396" ht="14.2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</row>
    <row r="397" ht="14.2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</row>
    <row r="398" ht="14.2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</row>
    <row r="399" ht="14.2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</row>
    <row r="400" ht="14.2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</row>
    <row r="401" ht="14.2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</row>
    <row r="402" ht="14.2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</row>
    <row r="403" ht="14.2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</row>
    <row r="404" ht="14.2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</row>
    <row r="405" ht="14.2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</row>
    <row r="406" ht="14.2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</row>
    <row r="407" ht="14.2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</row>
    <row r="408" ht="14.2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</row>
    <row r="409" ht="14.2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</row>
    <row r="410" ht="14.2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</row>
    <row r="411" ht="14.2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</row>
    <row r="412" ht="14.2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</row>
    <row r="413" ht="14.2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</row>
    <row r="414" ht="14.2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</row>
    <row r="415" ht="14.2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</row>
    <row r="416" ht="14.2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</row>
    <row r="417" ht="14.2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</row>
    <row r="418" ht="14.2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</row>
    <row r="419" ht="14.2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</row>
    <row r="420" ht="14.2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</row>
    <row r="421" ht="14.2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</row>
    <row r="422" ht="14.2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</row>
    <row r="423" ht="14.2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</row>
    <row r="424" ht="14.2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</row>
    <row r="425" ht="14.2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</row>
    <row r="426" ht="14.2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</row>
    <row r="427" ht="14.2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</row>
    <row r="428" ht="14.2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</row>
    <row r="429" ht="14.2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</row>
    <row r="430" ht="14.2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</row>
    <row r="431" ht="14.2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</row>
    <row r="432" ht="14.2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</row>
    <row r="433" ht="14.2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</row>
    <row r="434" ht="14.2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</row>
    <row r="435" ht="14.2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</row>
    <row r="436" ht="14.2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</row>
    <row r="437" ht="14.2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</row>
    <row r="438" ht="14.2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</row>
    <row r="439" ht="14.2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</row>
    <row r="440" ht="14.2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</row>
    <row r="441" ht="14.2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</row>
    <row r="442" ht="14.2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</row>
    <row r="443" ht="14.2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</row>
    <row r="444" ht="14.2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</row>
    <row r="445" ht="14.2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</row>
    <row r="446" ht="14.2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</row>
    <row r="447" ht="14.2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</row>
    <row r="448" ht="14.2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</row>
    <row r="449" ht="14.2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</row>
    <row r="450" ht="14.2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</row>
    <row r="451" ht="14.2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</row>
    <row r="452" ht="14.2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</row>
    <row r="453" ht="14.2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</row>
    <row r="454" ht="14.2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</row>
    <row r="455" ht="14.2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</row>
    <row r="456" ht="14.2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</row>
    <row r="457" ht="14.2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</row>
    <row r="458" ht="14.2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</row>
    <row r="459" ht="14.2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</row>
    <row r="460" ht="14.2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</row>
    <row r="461" ht="14.2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</row>
    <row r="462" ht="14.2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</row>
    <row r="463" ht="14.2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</row>
    <row r="464" ht="14.2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</row>
    <row r="465" ht="14.2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</row>
    <row r="466" ht="14.2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</row>
    <row r="467" ht="14.2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</row>
    <row r="468" ht="14.2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</row>
    <row r="469" ht="14.2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</row>
    <row r="470" ht="14.2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</row>
    <row r="471" ht="14.2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</row>
    <row r="472" ht="14.2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</row>
    <row r="473" ht="14.2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</row>
    <row r="474" ht="14.2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</row>
    <row r="475" ht="14.2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</row>
    <row r="476" ht="14.2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</row>
    <row r="477" ht="14.2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</row>
    <row r="478" ht="14.2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</row>
    <row r="479" ht="14.2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</row>
    <row r="480" ht="14.2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</row>
    <row r="481" ht="14.2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</row>
    <row r="482" ht="14.2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</row>
    <row r="483" ht="14.2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</row>
    <row r="484" ht="14.2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</row>
    <row r="485" ht="14.2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</row>
    <row r="486" ht="14.2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</row>
    <row r="487" ht="14.2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</row>
    <row r="488" ht="14.2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</row>
    <row r="489" ht="14.2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</row>
    <row r="490" ht="14.2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</row>
    <row r="491" ht="14.2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</row>
    <row r="492" ht="14.2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</row>
    <row r="493" ht="14.2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</row>
    <row r="494" ht="14.2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</row>
    <row r="495" ht="14.2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</row>
    <row r="496" ht="14.2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</row>
    <row r="497" ht="14.2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</row>
    <row r="498" ht="14.2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</row>
    <row r="499" ht="14.2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</row>
    <row r="500" ht="14.2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</row>
    <row r="501" ht="14.2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</row>
    <row r="502" ht="14.2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</row>
    <row r="503" ht="14.2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</row>
    <row r="504" ht="14.2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</row>
    <row r="505" ht="14.2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</row>
    <row r="506" ht="14.2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</row>
    <row r="507" ht="14.2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</row>
    <row r="508" ht="14.2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</row>
    <row r="509" ht="14.2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</row>
    <row r="510" ht="14.2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</row>
    <row r="511" ht="14.2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</row>
    <row r="512" ht="14.2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</row>
    <row r="513" ht="14.2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</row>
    <row r="514" ht="14.2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</row>
    <row r="515" ht="14.2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</row>
    <row r="516" ht="14.2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</row>
    <row r="517" ht="14.2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</row>
    <row r="518" ht="14.2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</row>
    <row r="519" ht="14.2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</row>
    <row r="520" ht="14.2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</row>
    <row r="521" ht="14.2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</row>
    <row r="522" ht="14.2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</row>
    <row r="523" ht="14.2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</row>
    <row r="524" ht="14.2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</row>
    <row r="525" ht="14.2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</row>
    <row r="526" ht="14.2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</row>
    <row r="527" ht="14.2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</row>
    <row r="528" ht="14.2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</row>
    <row r="529" ht="14.2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</row>
    <row r="530" ht="14.2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</row>
    <row r="531" ht="14.2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</row>
    <row r="532" ht="14.2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</row>
    <row r="533" ht="14.2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</row>
    <row r="534" ht="14.2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</row>
    <row r="535" ht="14.2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</row>
    <row r="536" ht="14.2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</row>
    <row r="537" ht="14.2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</row>
    <row r="538" ht="14.2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</row>
    <row r="539" ht="14.2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</row>
    <row r="540" ht="14.2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</row>
    <row r="541" ht="14.2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</row>
    <row r="542" ht="14.2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</row>
    <row r="543" ht="14.2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</row>
    <row r="544" ht="14.2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</row>
    <row r="545" ht="14.2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</row>
    <row r="546" ht="14.2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</row>
    <row r="547" ht="14.2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</row>
    <row r="548" ht="14.2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</row>
    <row r="549" ht="14.2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</row>
    <row r="550" ht="14.2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</row>
    <row r="551" ht="14.2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</row>
    <row r="552" ht="14.2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</row>
    <row r="553" ht="14.2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</row>
    <row r="554" ht="14.2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</row>
    <row r="555" ht="14.2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</row>
    <row r="556" ht="14.2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</row>
    <row r="557" ht="14.2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</row>
    <row r="558" ht="14.2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</row>
    <row r="559" ht="14.2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</row>
    <row r="560" ht="14.2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</row>
    <row r="561" ht="14.2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</row>
    <row r="562" ht="14.2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</row>
    <row r="563" ht="14.2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</row>
    <row r="564" ht="14.2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</row>
    <row r="565" ht="14.2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</row>
    <row r="566" ht="14.2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</row>
    <row r="567" ht="14.2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</row>
    <row r="568" ht="14.2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</row>
    <row r="569" ht="14.2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</row>
    <row r="570" ht="14.2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</row>
    <row r="571" ht="14.2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</row>
    <row r="572" ht="14.2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</row>
    <row r="573" ht="14.2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</row>
    <row r="574" ht="14.2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</row>
    <row r="575" ht="14.2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</row>
    <row r="576" ht="14.2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</row>
    <row r="577" ht="14.2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</row>
    <row r="578" ht="14.2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</row>
    <row r="579" ht="14.2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</row>
    <row r="580" ht="14.2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</row>
    <row r="581" ht="14.2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</row>
    <row r="582" ht="14.2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</row>
    <row r="583" ht="14.2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</row>
    <row r="584" ht="14.2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</row>
    <row r="585" ht="14.2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</row>
    <row r="586" ht="14.2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</row>
    <row r="587" ht="14.2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</row>
    <row r="588" ht="14.2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</row>
    <row r="589" ht="14.2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</row>
    <row r="590" ht="14.2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</row>
    <row r="591" ht="14.2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</row>
    <row r="592" ht="14.2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</row>
    <row r="593" ht="14.2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</row>
    <row r="594" ht="14.2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</row>
    <row r="595" ht="14.2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</row>
    <row r="596" ht="14.2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</row>
    <row r="597" ht="14.2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</row>
    <row r="598" ht="14.2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</row>
    <row r="599" ht="14.2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</row>
    <row r="600" ht="14.2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</row>
    <row r="601" ht="14.2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</row>
    <row r="602" ht="14.2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</row>
    <row r="603" ht="14.2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</row>
    <row r="604" ht="14.2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</row>
    <row r="605" ht="14.2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</row>
    <row r="606" ht="14.2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</row>
    <row r="607" ht="14.2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</row>
    <row r="608" ht="14.2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</row>
    <row r="609" ht="14.2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</row>
    <row r="610" ht="14.2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</row>
    <row r="611" ht="14.2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</row>
    <row r="612" ht="14.2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</row>
    <row r="613" ht="14.2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</row>
    <row r="614" ht="14.2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</row>
    <row r="615" ht="14.2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</row>
    <row r="616" ht="14.2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</row>
    <row r="617" ht="14.2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</row>
    <row r="618" ht="14.2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</row>
    <row r="619" ht="14.2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</row>
    <row r="620" ht="14.2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</row>
    <row r="621" ht="14.2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</row>
    <row r="622" ht="14.2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</row>
    <row r="623" ht="14.2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</row>
    <row r="624" ht="14.2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</row>
    <row r="625" ht="14.2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</row>
    <row r="626" ht="14.2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</row>
    <row r="627" ht="14.2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</row>
    <row r="628" ht="14.2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</row>
    <row r="629" ht="14.2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</row>
    <row r="630" ht="14.2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</row>
    <row r="631" ht="14.2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</row>
    <row r="632" ht="14.2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</row>
    <row r="633" ht="14.2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</row>
    <row r="634" ht="14.2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</row>
    <row r="635" ht="14.2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</row>
    <row r="636" ht="14.2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</row>
    <row r="637" ht="14.2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</row>
    <row r="638" ht="14.2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</row>
    <row r="639" ht="14.2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</row>
    <row r="640" ht="14.2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</row>
    <row r="641" ht="14.2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</row>
    <row r="642" ht="14.2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</row>
    <row r="643" ht="14.2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</row>
    <row r="644" ht="14.2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</row>
    <row r="645" ht="14.2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</row>
    <row r="646" ht="14.2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</row>
    <row r="647" ht="14.2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</row>
    <row r="648" ht="14.2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</row>
    <row r="649" ht="14.2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</row>
    <row r="650" ht="14.2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</row>
    <row r="651" ht="14.2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</row>
    <row r="652" ht="14.2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</row>
    <row r="653" ht="14.2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</row>
    <row r="654" ht="14.2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</row>
    <row r="655" ht="14.2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</row>
    <row r="656" ht="14.2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</row>
    <row r="657" ht="14.2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</row>
    <row r="658" ht="14.2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</row>
    <row r="659" ht="14.2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</row>
    <row r="660" ht="14.2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</row>
    <row r="661" ht="14.2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</row>
    <row r="662" ht="14.2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</row>
    <row r="663" ht="14.2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</row>
    <row r="664" ht="14.2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</row>
    <row r="665" ht="14.2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</row>
    <row r="666" ht="14.2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</row>
    <row r="667" ht="14.2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</row>
    <row r="668" ht="14.2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</row>
    <row r="669" ht="14.2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</row>
    <row r="670" ht="14.2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</row>
    <row r="671" ht="14.2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</row>
    <row r="672" ht="14.2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</row>
    <row r="673" ht="14.2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</row>
    <row r="674" ht="14.2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</row>
    <row r="675" ht="14.2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</row>
    <row r="676" ht="14.2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</row>
    <row r="677" ht="14.2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</row>
    <row r="678" ht="14.2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</row>
    <row r="679" ht="14.2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</row>
    <row r="680" ht="14.2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</row>
    <row r="681" ht="14.2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</row>
    <row r="682" ht="14.2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</row>
    <row r="683" ht="14.2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</row>
    <row r="684" ht="14.2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</row>
    <row r="685" ht="14.2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</row>
    <row r="686" ht="14.2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</row>
    <row r="687" ht="14.2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</row>
    <row r="688" ht="14.2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</row>
    <row r="689" ht="14.2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</row>
    <row r="690" ht="14.2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</row>
    <row r="691" ht="14.2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</row>
    <row r="692" ht="14.2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</row>
    <row r="693" ht="14.2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</row>
    <row r="694" ht="14.2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</row>
    <row r="695" ht="14.2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</row>
    <row r="696" ht="14.2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</row>
    <row r="697" ht="14.2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</row>
    <row r="698" ht="14.2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</row>
    <row r="699" ht="14.2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</row>
    <row r="700" ht="14.2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</row>
    <row r="701" ht="14.2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</row>
    <row r="702" ht="14.2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</row>
    <row r="703" ht="14.2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</row>
    <row r="704" ht="14.2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</row>
    <row r="705" ht="14.2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</row>
    <row r="706" ht="14.2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</row>
    <row r="707" ht="14.2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</row>
    <row r="708" ht="14.2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</row>
    <row r="709" ht="14.2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</row>
    <row r="710" ht="14.2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</row>
    <row r="711" ht="14.2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</row>
    <row r="712" ht="14.2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</row>
    <row r="713" ht="14.2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</row>
    <row r="714" ht="14.2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</row>
    <row r="715" ht="14.2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</row>
    <row r="716" ht="14.2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</row>
    <row r="717" ht="14.2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</row>
    <row r="718" ht="14.2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</row>
    <row r="719" ht="14.2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</row>
    <row r="720" ht="14.2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</row>
    <row r="721" ht="14.2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</row>
    <row r="722" ht="14.2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</row>
    <row r="723" ht="14.2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</row>
    <row r="724" ht="14.2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</row>
    <row r="725" ht="14.2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</row>
    <row r="726" ht="14.2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</row>
    <row r="727" ht="14.2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</row>
    <row r="728" ht="14.2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</row>
    <row r="729" ht="14.2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</row>
    <row r="730" ht="14.2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</row>
    <row r="731" ht="14.2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</row>
    <row r="732" ht="14.2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</row>
    <row r="733" ht="14.2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</row>
    <row r="734" ht="14.2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</row>
    <row r="735" ht="14.2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</row>
    <row r="736" ht="14.2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</row>
    <row r="737" ht="14.2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</row>
    <row r="738" ht="14.2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</row>
    <row r="739" ht="14.2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</row>
    <row r="740" ht="14.2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</row>
    <row r="741" ht="14.2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</row>
    <row r="742" ht="14.2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</row>
    <row r="743" ht="14.2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</row>
    <row r="744" ht="14.2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</row>
    <row r="745" ht="14.2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</row>
    <row r="746" ht="14.2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</row>
    <row r="747" ht="14.2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</row>
    <row r="748" ht="14.2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</row>
    <row r="749" ht="14.2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</row>
    <row r="750" ht="14.2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</row>
    <row r="751" ht="14.2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</row>
    <row r="752" ht="14.2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</row>
    <row r="753" ht="14.2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</row>
    <row r="754" ht="14.2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</row>
    <row r="755" ht="14.2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</row>
    <row r="756" ht="14.2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</row>
    <row r="757" ht="14.2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</row>
    <row r="758" ht="14.2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</row>
    <row r="759" ht="14.2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</row>
    <row r="760" ht="14.2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</row>
    <row r="761" ht="14.2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</row>
    <row r="762" ht="14.2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</row>
    <row r="763" ht="14.2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</row>
    <row r="764" ht="14.2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</row>
    <row r="765" ht="14.2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</row>
    <row r="766" ht="14.2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</row>
    <row r="767" ht="14.2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</row>
    <row r="768" ht="14.2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</row>
    <row r="769" ht="14.2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</row>
    <row r="770" ht="14.2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</row>
    <row r="771" ht="14.2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</row>
    <row r="772" ht="14.2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</row>
    <row r="773" ht="14.2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</row>
    <row r="774" ht="14.2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</row>
    <row r="775" ht="14.2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</row>
    <row r="776" ht="14.2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</row>
    <row r="777" ht="14.2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</row>
    <row r="778" ht="14.2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</row>
    <row r="779" ht="14.2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</row>
    <row r="780" ht="14.2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</row>
    <row r="781" ht="14.2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</row>
    <row r="782" ht="14.2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</row>
    <row r="783" ht="14.2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</row>
    <row r="784" ht="14.2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</row>
    <row r="785" ht="14.2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</row>
    <row r="786" ht="14.2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</row>
    <row r="787" ht="14.2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</row>
    <row r="788" ht="14.2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</row>
    <row r="789" ht="14.2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</row>
    <row r="790" ht="14.2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</row>
    <row r="791" ht="14.2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</row>
    <row r="792" ht="14.2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</row>
    <row r="793" ht="14.2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</row>
    <row r="794" ht="14.2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</row>
    <row r="795" ht="14.2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</row>
    <row r="796" ht="14.2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</row>
    <row r="797" ht="14.2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</row>
    <row r="798" ht="14.2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</row>
    <row r="799" ht="14.2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</row>
    <row r="800" ht="14.2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</row>
    <row r="801" ht="14.2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</row>
    <row r="802" ht="14.2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</row>
    <row r="803" ht="14.2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</row>
    <row r="804" ht="14.2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</row>
    <row r="805" ht="14.2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</row>
    <row r="806" ht="14.2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</row>
    <row r="807" ht="14.2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</row>
    <row r="808" ht="14.2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</row>
    <row r="809" ht="14.2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</row>
    <row r="810" ht="14.2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</row>
    <row r="811" ht="14.2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</row>
    <row r="812" ht="14.2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</row>
    <row r="813" ht="14.2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</row>
    <row r="814" ht="14.2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</row>
    <row r="815" ht="14.2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</row>
    <row r="816" ht="14.2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</row>
    <row r="817" ht="14.2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</row>
    <row r="818" ht="14.2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</row>
    <row r="819" ht="14.2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</row>
    <row r="820" ht="14.2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</row>
    <row r="821" ht="14.2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</row>
    <row r="822" ht="14.2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</row>
    <row r="823" ht="14.2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</row>
    <row r="824" ht="14.2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</row>
    <row r="825" ht="14.2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</row>
    <row r="826" ht="14.2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</row>
    <row r="827" ht="14.2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</row>
    <row r="828" ht="14.2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</row>
    <row r="829" ht="14.2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</row>
    <row r="830" ht="14.2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</row>
    <row r="831" ht="14.2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</row>
    <row r="832" ht="14.2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</row>
    <row r="833" ht="14.2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</row>
    <row r="834" ht="14.2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</row>
    <row r="835" ht="14.2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</row>
    <row r="836" ht="14.2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</row>
    <row r="837" ht="14.2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</row>
    <row r="838" ht="14.2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</row>
    <row r="839" ht="14.2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</row>
    <row r="840" ht="14.2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</row>
    <row r="841" ht="14.2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</row>
    <row r="842" ht="14.2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</row>
    <row r="843" ht="14.2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</row>
    <row r="844" ht="14.2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</row>
    <row r="845" ht="14.2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</row>
    <row r="846" ht="14.2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</row>
    <row r="847" ht="14.2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</row>
    <row r="848" ht="14.2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</row>
    <row r="849" ht="14.2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</row>
    <row r="850" ht="14.2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</row>
    <row r="851" ht="14.2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</row>
    <row r="852" ht="14.2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</row>
    <row r="853" ht="14.2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</row>
    <row r="854" ht="14.2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</row>
    <row r="855" ht="14.2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</row>
    <row r="856" ht="14.2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</row>
    <row r="857" ht="14.2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</row>
    <row r="858" ht="14.2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</row>
    <row r="859" ht="14.2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</row>
    <row r="860" ht="14.2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</row>
    <row r="861" ht="14.2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</row>
    <row r="862" ht="14.2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</row>
    <row r="863" ht="14.2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</row>
    <row r="864" ht="14.2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</row>
    <row r="865" ht="14.2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</row>
    <row r="866" ht="14.2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</row>
    <row r="867" ht="14.2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</row>
    <row r="868" ht="14.2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</row>
    <row r="869" ht="14.2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</row>
    <row r="870" ht="14.2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</row>
    <row r="871" ht="14.2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</row>
    <row r="872" ht="14.2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</row>
    <row r="873" ht="14.2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</row>
    <row r="874" ht="14.2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</row>
    <row r="875" ht="14.2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</row>
    <row r="876" ht="14.2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</row>
    <row r="877" ht="14.2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</row>
    <row r="878" ht="14.2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</row>
    <row r="879" ht="14.2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</row>
    <row r="880" ht="14.2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</row>
    <row r="881" ht="14.2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</row>
    <row r="882" ht="14.2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</row>
    <row r="883" ht="14.2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</row>
    <row r="884" ht="14.2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</row>
    <row r="885" ht="14.2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</row>
    <row r="886" ht="14.2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</row>
    <row r="887" ht="14.2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</row>
    <row r="888" ht="14.2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</row>
    <row r="889" ht="14.2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</row>
    <row r="890" ht="14.2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</row>
    <row r="891" ht="14.2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</row>
    <row r="892" ht="14.2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</row>
    <row r="893" ht="14.2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</row>
    <row r="894" ht="14.2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</row>
    <row r="895" ht="14.2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</row>
    <row r="896" ht="14.2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</row>
    <row r="897" ht="14.2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</row>
    <row r="898" ht="14.2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</row>
    <row r="899" ht="14.2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</row>
    <row r="900" ht="14.2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</row>
    <row r="901" ht="14.2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</row>
    <row r="902" ht="14.2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</row>
    <row r="903" ht="14.2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</row>
    <row r="904" ht="14.2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</row>
    <row r="905" ht="14.2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</row>
    <row r="906" ht="14.2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</row>
    <row r="907" ht="14.2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</row>
    <row r="908" ht="14.2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</row>
    <row r="909" ht="14.2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</row>
    <row r="910" ht="14.2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</row>
    <row r="911" ht="14.2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</row>
    <row r="912" ht="14.2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</row>
    <row r="913" ht="14.2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</row>
    <row r="914" ht="14.2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</row>
    <row r="915" ht="14.2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</row>
    <row r="916" ht="14.2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</row>
    <row r="917" ht="14.2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</row>
    <row r="918" ht="14.2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</row>
    <row r="919" ht="14.2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</row>
    <row r="920" ht="14.2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</row>
    <row r="921" ht="14.2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</row>
    <row r="922" ht="14.2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</row>
    <row r="923" ht="14.2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</row>
    <row r="924" ht="14.2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</row>
    <row r="925" ht="14.2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</row>
    <row r="926" ht="14.2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</row>
    <row r="927" ht="14.2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</row>
    <row r="928" ht="14.2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</row>
    <row r="929" ht="14.2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</row>
    <row r="930" ht="14.2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</row>
    <row r="931" ht="14.2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</row>
    <row r="932" ht="14.2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</row>
    <row r="933" ht="14.2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</row>
    <row r="934" ht="14.2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</row>
    <row r="935" ht="14.2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</row>
    <row r="936" ht="14.2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</row>
    <row r="937" ht="14.2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</row>
    <row r="938" ht="14.2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</row>
    <row r="939" ht="14.2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</row>
    <row r="940" ht="14.2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</row>
    <row r="941" ht="14.2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</row>
    <row r="942" ht="14.2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</row>
    <row r="943" ht="14.2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</row>
    <row r="944" ht="14.2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</row>
    <row r="945" ht="14.2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</row>
    <row r="946" ht="14.2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</row>
    <row r="947" ht="14.2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</row>
    <row r="948" ht="14.2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</row>
    <row r="949" ht="14.2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</row>
    <row r="950" ht="14.2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</row>
    <row r="951" ht="14.2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</row>
    <row r="952" ht="14.2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</row>
    <row r="953" ht="14.2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</row>
    <row r="954" ht="14.2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</row>
    <row r="955" ht="14.2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</row>
    <row r="956" ht="14.2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</row>
    <row r="957" ht="14.2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</row>
    <row r="958" ht="14.2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</row>
    <row r="959" ht="14.2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</row>
    <row r="960" ht="14.2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</row>
    <row r="961" ht="14.2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</row>
    <row r="962" ht="14.2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</row>
    <row r="963" ht="14.2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</row>
    <row r="964" ht="14.2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</row>
    <row r="965" ht="14.2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</row>
    <row r="966" ht="14.2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</row>
    <row r="967" ht="14.2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</row>
    <row r="968" ht="14.2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</row>
    <row r="969" ht="14.2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</row>
    <row r="970" ht="14.2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</row>
    <row r="971" ht="14.2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</row>
    <row r="972" ht="14.2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</row>
    <row r="973" ht="14.2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</row>
    <row r="974" ht="14.2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</row>
    <row r="975" ht="14.2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</row>
    <row r="976" ht="14.2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</row>
    <row r="977" ht="14.2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</row>
    <row r="978" ht="14.2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</row>
    <row r="979" ht="14.2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</row>
    <row r="980" ht="14.2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</row>
    <row r="981" ht="14.2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</row>
    <row r="982" ht="14.2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</row>
    <row r="983" ht="14.2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</row>
    <row r="984" ht="14.2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</row>
    <row r="985" ht="14.2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</row>
    <row r="986" ht="14.2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</row>
    <row r="987" ht="14.2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</row>
    <row r="988" ht="14.2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</row>
    <row r="989" ht="14.2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</row>
    <row r="990" ht="14.2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</row>
    <row r="991" ht="14.2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</row>
    <row r="992" ht="14.2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</row>
    <row r="993" ht="14.2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</row>
    <row r="994" ht="14.2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</row>
    <row r="995" ht="14.2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</row>
    <row r="996" ht="14.2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</row>
    <row r="997" ht="14.2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</row>
    <row r="998" ht="14.2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</row>
    <row r="999" ht="14.2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</row>
    <row r="1000" ht="14.2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</row>
    <row r="1001" ht="14.25" customHeight="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</row>
    <row r="1002" ht="14.25" customHeight="1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</row>
    <row r="1003" ht="14.25" customHeight="1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</row>
    <row r="1004" ht="14.25" customHeight="1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</row>
    <row r="1005" ht="14.25" customHeight="1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  <c r="AO1005" s="14"/>
      <c r="AP1005" s="14"/>
    </row>
    <row r="1006" ht="14.25" customHeight="1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4"/>
      <c r="AP1006" s="14"/>
    </row>
    <row r="1007" ht="14.25" customHeight="1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  <c r="AO1007" s="14"/>
      <c r="AP1007" s="14"/>
    </row>
    <row r="1008" ht="14.25" customHeight="1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  <c r="AO1008" s="14"/>
      <c r="AP1008" s="14"/>
    </row>
    <row r="1009" ht="14.25" customHeight="1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  <c r="AO1009" s="14"/>
      <c r="AP1009" s="14"/>
    </row>
    <row r="1010" ht="14.25" customHeight="1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  <c r="AO1010" s="14"/>
      <c r="AP1010" s="14"/>
    </row>
    <row r="1011" ht="14.25" customHeight="1">
      <c r="A1011" s="14"/>
      <c r="B1011" s="14"/>
      <c r="C1011" s="1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4"/>
      <c r="AO1011" s="14"/>
      <c r="AP1011" s="14"/>
    </row>
    <row r="1012" ht="14.25" customHeight="1">
      <c r="A1012" s="14"/>
      <c r="B1012" s="14"/>
      <c r="C1012" s="1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4"/>
      <c r="AO1012" s="14"/>
      <c r="AP1012" s="14"/>
    </row>
    <row r="1013" ht="14.25" customHeight="1">
      <c r="A1013" s="14"/>
      <c r="B1013" s="14"/>
      <c r="C1013" s="14"/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  <c r="AO1013" s="14"/>
      <c r="AP1013" s="14"/>
    </row>
    <row r="1014" ht="14.25" customHeight="1">
      <c r="A1014" s="14"/>
      <c r="B1014" s="14"/>
      <c r="C1014" s="14"/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  <c r="AN1014" s="14"/>
      <c r="AO1014" s="14"/>
      <c r="AP1014" s="14"/>
    </row>
    <row r="1015" ht="14.25" customHeight="1">
      <c r="A1015" s="14"/>
      <c r="B1015" s="14"/>
      <c r="C1015" s="14"/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4"/>
      <c r="AO1015" s="14"/>
      <c r="AP1015" s="14"/>
    </row>
    <row r="1016" ht="14.25" customHeight="1">
      <c r="A1016" s="14"/>
      <c r="B1016" s="14"/>
      <c r="C1016" s="14"/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  <c r="AL1016" s="14"/>
      <c r="AM1016" s="14"/>
      <c r="AN1016" s="14"/>
      <c r="AO1016" s="14"/>
      <c r="AP1016" s="14"/>
    </row>
    <row r="1017" ht="14.25" customHeight="1">
      <c r="A1017" s="14"/>
      <c r="B1017" s="14"/>
      <c r="C1017" s="14"/>
      <c r="D1017" s="14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  <c r="AO1017" s="14"/>
      <c r="AP1017" s="14"/>
    </row>
    <row r="1018" ht="14.25" customHeight="1">
      <c r="A1018" s="14"/>
      <c r="B1018" s="14"/>
      <c r="C1018" s="14"/>
      <c r="D1018" s="14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  <c r="AH1018" s="14"/>
      <c r="AI1018" s="14"/>
      <c r="AJ1018" s="14"/>
      <c r="AK1018" s="14"/>
      <c r="AL1018" s="14"/>
      <c r="AM1018" s="14"/>
      <c r="AN1018" s="14"/>
      <c r="AO1018" s="14"/>
      <c r="AP1018" s="14"/>
    </row>
    <row r="1019" ht="14.25" customHeight="1">
      <c r="A1019" s="14"/>
      <c r="B1019" s="14"/>
      <c r="C1019" s="14"/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  <c r="AO1019" s="14"/>
      <c r="AP1019" s="14"/>
    </row>
    <row r="1020" ht="14.25" customHeight="1">
      <c r="A1020" s="14"/>
      <c r="B1020" s="14"/>
      <c r="C1020" s="14"/>
      <c r="D1020" s="14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  <c r="AO1020" s="14"/>
      <c r="AP1020" s="14"/>
    </row>
    <row r="1021" ht="14.25" customHeight="1">
      <c r="A1021" s="14"/>
      <c r="B1021" s="14"/>
      <c r="C1021" s="14"/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4"/>
      <c r="AN1021" s="14"/>
      <c r="AO1021" s="14"/>
      <c r="AP1021" s="14"/>
    </row>
    <row r="1022" ht="14.25" customHeight="1">
      <c r="A1022" s="14"/>
      <c r="B1022" s="14"/>
      <c r="C1022" s="14"/>
      <c r="D1022" s="14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  <c r="AO1022" s="14"/>
      <c r="AP1022" s="14"/>
    </row>
    <row r="1023" ht="14.25" customHeight="1">
      <c r="A1023" s="14"/>
      <c r="B1023" s="14"/>
      <c r="C1023" s="14"/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  <c r="AO1023" s="14"/>
      <c r="AP1023" s="14"/>
    </row>
    <row r="1024" ht="14.25" customHeight="1">
      <c r="A1024" s="14"/>
      <c r="B1024" s="14"/>
      <c r="C1024" s="14"/>
      <c r="D1024" s="14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4"/>
      <c r="AK1024" s="14"/>
      <c r="AL1024" s="14"/>
      <c r="AM1024" s="14"/>
      <c r="AN1024" s="14"/>
      <c r="AO1024" s="14"/>
      <c r="AP1024" s="14"/>
    </row>
    <row r="1025" ht="14.25" customHeight="1">
      <c r="A1025" s="14"/>
      <c r="B1025" s="14"/>
      <c r="C1025" s="14"/>
      <c r="D1025" s="14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4"/>
      <c r="AK1025" s="14"/>
      <c r="AL1025" s="14"/>
      <c r="AM1025" s="14"/>
      <c r="AN1025" s="14"/>
      <c r="AO1025" s="14"/>
      <c r="AP1025" s="14"/>
    </row>
    <row r="1026" ht="14.25" customHeight="1">
      <c r="A1026" s="14"/>
      <c r="B1026" s="14"/>
      <c r="C1026" s="14"/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4"/>
      <c r="AO1026" s="14"/>
      <c r="AP1026" s="14"/>
    </row>
    <row r="1027" ht="14.25" customHeight="1">
      <c r="A1027" s="14"/>
      <c r="B1027" s="14"/>
      <c r="C1027" s="14"/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4"/>
      <c r="AO1027" s="14"/>
      <c r="AP1027" s="14"/>
    </row>
    <row r="1028" ht="14.25" customHeight="1">
      <c r="A1028" s="14"/>
      <c r="B1028" s="14"/>
      <c r="C1028" s="14"/>
      <c r="D1028" s="14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  <c r="AL1028" s="14"/>
      <c r="AM1028" s="14"/>
      <c r="AN1028" s="14"/>
      <c r="AO1028" s="14"/>
      <c r="AP1028" s="14"/>
    </row>
    <row r="1029" ht="14.25" customHeight="1">
      <c r="A1029" s="14"/>
      <c r="B1029" s="14"/>
      <c r="C1029" s="14"/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  <c r="AN1029" s="14"/>
      <c r="AO1029" s="14"/>
      <c r="AP1029" s="14"/>
    </row>
    <row r="1030" ht="14.25" customHeight="1">
      <c r="A1030" s="14"/>
      <c r="B1030" s="14"/>
      <c r="C1030" s="14"/>
      <c r="D1030" s="14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4"/>
      <c r="AO1030" s="14"/>
      <c r="AP1030" s="14"/>
    </row>
    <row r="1031" ht="14.25" customHeight="1">
      <c r="A1031" s="14"/>
      <c r="B1031" s="14"/>
      <c r="C1031" s="14"/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4"/>
      <c r="AK1031" s="14"/>
      <c r="AL1031" s="14"/>
      <c r="AM1031" s="14"/>
      <c r="AN1031" s="14"/>
      <c r="AO1031" s="14"/>
      <c r="AP1031" s="14"/>
    </row>
    <row r="1032" ht="14.25" customHeight="1">
      <c r="A1032" s="14"/>
      <c r="B1032" s="14"/>
      <c r="C1032" s="14"/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  <c r="AN1032" s="14"/>
      <c r="AO1032" s="14"/>
      <c r="AP1032" s="14"/>
    </row>
    <row r="1033" ht="14.25" customHeight="1">
      <c r="A1033" s="14"/>
      <c r="B1033" s="14"/>
      <c r="C1033" s="14"/>
      <c r="D1033" s="14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4"/>
      <c r="AK1033" s="14"/>
      <c r="AL1033" s="14"/>
      <c r="AM1033" s="14"/>
      <c r="AN1033" s="14"/>
      <c r="AO1033" s="14"/>
      <c r="AP1033" s="14"/>
    </row>
    <row r="1034" ht="14.25" customHeight="1">
      <c r="A1034" s="14"/>
      <c r="B1034" s="14"/>
      <c r="C1034" s="14"/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  <c r="AK1034" s="14"/>
      <c r="AL1034" s="14"/>
      <c r="AM1034" s="14"/>
      <c r="AN1034" s="14"/>
      <c r="AO1034" s="14"/>
      <c r="AP1034" s="14"/>
    </row>
    <row r="1035" ht="14.25" customHeight="1">
      <c r="A1035" s="14"/>
      <c r="B1035" s="14"/>
      <c r="C1035" s="14"/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4"/>
      <c r="AK1035" s="14"/>
      <c r="AL1035" s="14"/>
      <c r="AM1035" s="14"/>
      <c r="AN1035" s="14"/>
      <c r="AO1035" s="14"/>
      <c r="AP1035" s="14"/>
    </row>
    <row r="1036" ht="14.25" customHeight="1">
      <c r="A1036" s="14"/>
      <c r="B1036" s="14"/>
      <c r="C1036" s="14"/>
      <c r="D1036" s="14"/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  <c r="AK1036" s="14"/>
      <c r="AL1036" s="14"/>
      <c r="AM1036" s="14"/>
      <c r="AN1036" s="14"/>
      <c r="AO1036" s="14"/>
      <c r="AP1036" s="14"/>
    </row>
    <row r="1037" ht="14.25" customHeight="1">
      <c r="A1037" s="14"/>
      <c r="B1037" s="14"/>
      <c r="C1037" s="14"/>
      <c r="D1037" s="14"/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4"/>
      <c r="AK1037" s="14"/>
      <c r="AL1037" s="14"/>
      <c r="AM1037" s="14"/>
      <c r="AN1037" s="14"/>
      <c r="AO1037" s="14"/>
      <c r="AP1037" s="14"/>
    </row>
    <row r="1038" ht="14.25" customHeight="1">
      <c r="A1038" s="14"/>
      <c r="B1038" s="14"/>
      <c r="C1038" s="14"/>
      <c r="D1038" s="14"/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4"/>
      <c r="AK1038" s="14"/>
      <c r="AL1038" s="14"/>
      <c r="AM1038" s="14"/>
      <c r="AN1038" s="14"/>
      <c r="AO1038" s="14"/>
      <c r="AP1038" s="14"/>
    </row>
    <row r="1039" ht="14.25" customHeight="1">
      <c r="A1039" s="14"/>
      <c r="B1039" s="14"/>
      <c r="C1039" s="14"/>
      <c r="D1039" s="14"/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  <c r="AN1039" s="14"/>
      <c r="AO1039" s="14"/>
      <c r="AP1039" s="14"/>
    </row>
    <row r="1040" ht="14.25" customHeight="1">
      <c r="A1040" s="14"/>
      <c r="B1040" s="14"/>
      <c r="C1040" s="14"/>
      <c r="D1040" s="14"/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  <c r="AO1040" s="14"/>
      <c r="AP1040" s="14"/>
    </row>
    <row r="1041" ht="14.25" customHeight="1">
      <c r="A1041" s="14"/>
      <c r="B1041" s="14"/>
      <c r="C1041" s="14"/>
      <c r="D1041" s="14"/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4"/>
      <c r="AO1041" s="14"/>
      <c r="AP1041" s="14"/>
    </row>
    <row r="1042" ht="14.25" customHeight="1">
      <c r="A1042" s="14"/>
      <c r="B1042" s="14"/>
      <c r="C1042" s="14"/>
      <c r="D1042" s="14"/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4"/>
      <c r="AO1042" s="14"/>
      <c r="AP1042" s="14"/>
    </row>
    <row r="1043" ht="14.25" customHeight="1">
      <c r="A1043" s="14"/>
      <c r="B1043" s="14"/>
      <c r="C1043" s="14"/>
      <c r="D1043" s="14"/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/>
      <c r="AN1043" s="14"/>
      <c r="AO1043" s="14"/>
      <c r="AP1043" s="14"/>
    </row>
    <row r="1044" ht="14.25" customHeight="1">
      <c r="A1044" s="14"/>
      <c r="B1044" s="14"/>
      <c r="C1044" s="14"/>
      <c r="D1044" s="14"/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4"/>
      <c r="AO1044" s="14"/>
      <c r="AP1044" s="14"/>
    </row>
    <row r="1045" ht="14.25" customHeight="1">
      <c r="A1045" s="14"/>
      <c r="B1045" s="14"/>
      <c r="C1045" s="14"/>
      <c r="D1045" s="14"/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  <c r="AO1045" s="14"/>
      <c r="AP1045" s="14"/>
    </row>
    <row r="1046" ht="14.25" customHeight="1">
      <c r="A1046" s="14"/>
      <c r="B1046" s="14"/>
      <c r="C1046" s="14"/>
      <c r="D1046" s="14"/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/>
      <c r="AN1046" s="14"/>
      <c r="AO1046" s="14"/>
      <c r="AP1046" s="14"/>
    </row>
    <row r="1047" ht="14.25" customHeight="1">
      <c r="A1047" s="14"/>
      <c r="B1047" s="14"/>
      <c r="C1047" s="14"/>
      <c r="D1047" s="14"/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4"/>
      <c r="AK1047" s="14"/>
      <c r="AL1047" s="14"/>
      <c r="AM1047" s="14"/>
      <c r="AN1047" s="14"/>
      <c r="AO1047" s="14"/>
      <c r="AP1047" s="14"/>
    </row>
    <row r="1048" ht="14.25" customHeight="1">
      <c r="A1048" s="14"/>
      <c r="B1048" s="14"/>
      <c r="C1048" s="14"/>
      <c r="D1048" s="14"/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  <c r="AK1048" s="14"/>
      <c r="AL1048" s="14"/>
      <c r="AM1048" s="14"/>
      <c r="AN1048" s="14"/>
      <c r="AO1048" s="14"/>
      <c r="AP1048" s="14"/>
    </row>
    <row r="1049" ht="14.25" customHeight="1">
      <c r="A1049" s="14"/>
      <c r="B1049" s="14"/>
      <c r="C1049" s="14"/>
      <c r="D1049" s="14"/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  <c r="AL1049" s="14"/>
      <c r="AM1049" s="14"/>
      <c r="AN1049" s="14"/>
      <c r="AO1049" s="14"/>
      <c r="AP1049" s="14"/>
    </row>
    <row r="1050" ht="14.25" customHeight="1">
      <c r="A1050" s="14"/>
      <c r="B1050" s="14"/>
      <c r="C1050" s="14"/>
      <c r="D1050" s="14"/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  <c r="AK1050" s="14"/>
      <c r="AL1050" s="14"/>
      <c r="AM1050" s="14"/>
      <c r="AN1050" s="14"/>
      <c r="AO1050" s="14"/>
      <c r="AP1050" s="14"/>
    </row>
    <row r="1051" ht="14.25" customHeight="1">
      <c r="A1051" s="14"/>
      <c r="B1051" s="14"/>
      <c r="C1051" s="14"/>
      <c r="D1051" s="14"/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  <c r="AO1051" s="14"/>
      <c r="AP1051" s="14"/>
    </row>
    <row r="1052" ht="14.25" customHeight="1">
      <c r="A1052" s="14"/>
      <c r="B1052" s="14"/>
      <c r="C1052" s="14"/>
      <c r="D1052" s="14"/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  <c r="AO1052" s="14"/>
      <c r="AP1052" s="14"/>
    </row>
    <row r="1053" ht="14.25" customHeight="1">
      <c r="A1053" s="14"/>
      <c r="B1053" s="14"/>
      <c r="C1053" s="14"/>
      <c r="D1053" s="14"/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4"/>
      <c r="AO1053" s="14"/>
      <c r="AP1053" s="14"/>
    </row>
    <row r="1054" ht="14.25" customHeight="1">
      <c r="A1054" s="14"/>
      <c r="B1054" s="14"/>
      <c r="C1054" s="14"/>
      <c r="D1054" s="14"/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  <c r="AK1054" s="14"/>
      <c r="AL1054" s="14"/>
      <c r="AM1054" s="14"/>
      <c r="AN1054" s="14"/>
      <c r="AO1054" s="14"/>
      <c r="AP1054" s="14"/>
    </row>
    <row r="1055" ht="14.25" customHeight="1">
      <c r="A1055" s="14"/>
      <c r="B1055" s="14"/>
      <c r="C1055" s="14"/>
      <c r="D1055" s="14"/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4"/>
      <c r="AO1055" s="14"/>
      <c r="AP1055" s="14"/>
    </row>
    <row r="1056" ht="14.25" customHeight="1">
      <c r="A1056" s="14"/>
      <c r="B1056" s="14"/>
      <c r="C1056" s="14"/>
      <c r="D1056" s="14"/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4"/>
      <c r="AO1056" s="14"/>
      <c r="AP1056" s="14"/>
    </row>
    <row r="1057" ht="14.25" customHeight="1">
      <c r="A1057" s="14"/>
      <c r="B1057" s="14"/>
      <c r="C1057" s="14"/>
      <c r="D1057" s="14"/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  <c r="AL1057" s="14"/>
      <c r="AM1057" s="14"/>
      <c r="AN1057" s="14"/>
      <c r="AO1057" s="14"/>
      <c r="AP1057" s="14"/>
    </row>
    <row r="1058" ht="14.25" customHeight="1">
      <c r="A1058" s="14"/>
      <c r="B1058" s="14"/>
      <c r="C1058" s="14"/>
      <c r="D1058" s="14"/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4"/>
      <c r="AK1058" s="14"/>
      <c r="AL1058" s="14"/>
      <c r="AM1058" s="14"/>
      <c r="AN1058" s="14"/>
      <c r="AO1058" s="14"/>
      <c r="AP1058" s="14"/>
    </row>
    <row r="1059" ht="14.25" customHeight="1">
      <c r="A1059" s="14"/>
      <c r="B1059" s="14"/>
      <c r="C1059" s="14"/>
      <c r="D1059" s="14"/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4"/>
      <c r="AK1059" s="14"/>
      <c r="AL1059" s="14"/>
      <c r="AM1059" s="14"/>
      <c r="AN1059" s="14"/>
      <c r="AO1059" s="14"/>
      <c r="AP1059" s="14"/>
    </row>
    <row r="1060" ht="14.25" customHeight="1">
      <c r="A1060" s="14"/>
      <c r="B1060" s="14"/>
      <c r="C1060" s="14"/>
      <c r="D1060" s="14"/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4"/>
      <c r="AK1060" s="14"/>
      <c r="AL1060" s="14"/>
      <c r="AM1060" s="14"/>
      <c r="AN1060" s="14"/>
      <c r="AO1060" s="14"/>
      <c r="AP1060" s="14"/>
    </row>
    <row r="1061" ht="14.25" customHeight="1">
      <c r="A1061" s="14"/>
      <c r="B1061" s="14"/>
      <c r="C1061" s="14"/>
      <c r="D1061" s="14"/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  <c r="AB1061" s="14"/>
      <c r="AC1061" s="14"/>
      <c r="AD1061" s="14"/>
      <c r="AE1061" s="14"/>
      <c r="AF1061" s="14"/>
      <c r="AG1061" s="14"/>
      <c r="AH1061" s="14"/>
      <c r="AI1061" s="14"/>
      <c r="AJ1061" s="14"/>
      <c r="AK1061" s="14"/>
      <c r="AL1061" s="14"/>
      <c r="AM1061" s="14"/>
      <c r="AN1061" s="14"/>
      <c r="AO1061" s="14"/>
      <c r="AP1061" s="14"/>
    </row>
    <row r="1062" ht="14.25" customHeight="1">
      <c r="A1062" s="14"/>
      <c r="B1062" s="14"/>
      <c r="C1062" s="14"/>
      <c r="D1062" s="14"/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4"/>
      <c r="AB1062" s="14"/>
      <c r="AC1062" s="14"/>
      <c r="AD1062" s="14"/>
      <c r="AE1062" s="14"/>
      <c r="AF1062" s="14"/>
      <c r="AG1062" s="14"/>
      <c r="AH1062" s="14"/>
      <c r="AI1062" s="14"/>
      <c r="AJ1062" s="14"/>
      <c r="AK1062" s="14"/>
      <c r="AL1062" s="14"/>
      <c r="AM1062" s="14"/>
      <c r="AN1062" s="14"/>
      <c r="AO1062" s="14"/>
      <c r="AP1062" s="14"/>
    </row>
    <row r="1063" ht="14.25" customHeight="1">
      <c r="A1063" s="14"/>
      <c r="B1063" s="14"/>
      <c r="C1063" s="14"/>
      <c r="D1063" s="14"/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  <c r="AA1063" s="14"/>
      <c r="AB1063" s="14"/>
      <c r="AC1063" s="14"/>
      <c r="AD1063" s="14"/>
      <c r="AE1063" s="14"/>
      <c r="AF1063" s="14"/>
      <c r="AG1063" s="14"/>
      <c r="AH1063" s="14"/>
      <c r="AI1063" s="14"/>
      <c r="AJ1063" s="14"/>
      <c r="AK1063" s="14"/>
      <c r="AL1063" s="14"/>
      <c r="AM1063" s="14"/>
      <c r="AN1063" s="14"/>
      <c r="AO1063" s="14"/>
      <c r="AP1063" s="14"/>
    </row>
    <row r="1064" ht="14.25" customHeight="1">
      <c r="A1064" s="14"/>
      <c r="B1064" s="14"/>
      <c r="C1064" s="14"/>
      <c r="D1064" s="14"/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  <c r="AA1064" s="14"/>
      <c r="AB1064" s="14"/>
      <c r="AC1064" s="14"/>
      <c r="AD1064" s="14"/>
      <c r="AE1064" s="14"/>
      <c r="AF1064" s="14"/>
      <c r="AG1064" s="14"/>
      <c r="AH1064" s="14"/>
      <c r="AI1064" s="14"/>
      <c r="AJ1064" s="14"/>
      <c r="AK1064" s="14"/>
      <c r="AL1064" s="14"/>
      <c r="AM1064" s="14"/>
      <c r="AN1064" s="14"/>
      <c r="AO1064" s="14"/>
      <c r="AP1064" s="14"/>
    </row>
    <row r="1065" ht="14.25" customHeight="1">
      <c r="A1065" s="14"/>
      <c r="B1065" s="14"/>
      <c r="C1065" s="14"/>
      <c r="D1065" s="14"/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4"/>
      <c r="AB1065" s="14"/>
      <c r="AC1065" s="14"/>
      <c r="AD1065" s="14"/>
      <c r="AE1065" s="14"/>
      <c r="AF1065" s="14"/>
      <c r="AG1065" s="14"/>
      <c r="AH1065" s="14"/>
      <c r="AI1065" s="14"/>
      <c r="AJ1065" s="14"/>
      <c r="AK1065" s="14"/>
      <c r="AL1065" s="14"/>
      <c r="AM1065" s="14"/>
      <c r="AN1065" s="14"/>
      <c r="AO1065" s="14"/>
      <c r="AP1065" s="14"/>
    </row>
    <row r="1066" ht="14.25" customHeight="1">
      <c r="A1066" s="14"/>
      <c r="B1066" s="14"/>
      <c r="C1066" s="14"/>
      <c r="D1066" s="14"/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4"/>
      <c r="AK1066" s="14"/>
      <c r="AL1066" s="14"/>
      <c r="AM1066" s="14"/>
      <c r="AN1066" s="14"/>
      <c r="AO1066" s="14"/>
      <c r="AP1066" s="14"/>
    </row>
    <row r="1067" ht="14.25" customHeight="1">
      <c r="A1067" s="14"/>
      <c r="B1067" s="14"/>
      <c r="C1067" s="14"/>
      <c r="D1067" s="14"/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  <c r="AH1067" s="14"/>
      <c r="AI1067" s="14"/>
      <c r="AJ1067" s="14"/>
      <c r="AK1067" s="14"/>
      <c r="AL1067" s="14"/>
      <c r="AM1067" s="14"/>
      <c r="AN1067" s="14"/>
      <c r="AO1067" s="14"/>
      <c r="AP1067" s="14"/>
    </row>
    <row r="1068" ht="14.25" customHeight="1">
      <c r="A1068" s="14"/>
      <c r="B1068" s="14"/>
      <c r="C1068" s="14"/>
      <c r="D1068" s="14"/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  <c r="AH1068" s="14"/>
      <c r="AI1068" s="14"/>
      <c r="AJ1068" s="14"/>
      <c r="AK1068" s="14"/>
      <c r="AL1068" s="14"/>
      <c r="AM1068" s="14"/>
      <c r="AN1068" s="14"/>
      <c r="AO1068" s="14"/>
      <c r="AP1068" s="14"/>
    </row>
    <row r="1069" ht="14.25" customHeight="1">
      <c r="A1069" s="14"/>
      <c r="B1069" s="14"/>
      <c r="C1069" s="14"/>
      <c r="D1069" s="14"/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  <c r="AA1069" s="14"/>
      <c r="AB1069" s="14"/>
      <c r="AC1069" s="14"/>
      <c r="AD1069" s="14"/>
      <c r="AE1069" s="14"/>
      <c r="AF1069" s="14"/>
      <c r="AG1069" s="14"/>
      <c r="AH1069" s="14"/>
      <c r="AI1069" s="14"/>
      <c r="AJ1069" s="14"/>
      <c r="AK1069" s="14"/>
      <c r="AL1069" s="14"/>
      <c r="AM1069" s="14"/>
      <c r="AN1069" s="14"/>
      <c r="AO1069" s="14"/>
      <c r="AP1069" s="14"/>
    </row>
    <row r="1070" ht="14.25" customHeight="1">
      <c r="A1070" s="14"/>
      <c r="B1070" s="14"/>
      <c r="C1070" s="14"/>
      <c r="D1070" s="14"/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  <c r="AH1070" s="14"/>
      <c r="AI1070" s="14"/>
      <c r="AJ1070" s="14"/>
      <c r="AK1070" s="14"/>
      <c r="AL1070" s="14"/>
      <c r="AM1070" s="14"/>
      <c r="AN1070" s="14"/>
      <c r="AO1070" s="14"/>
      <c r="AP1070" s="14"/>
    </row>
    <row r="1071" ht="14.25" customHeight="1">
      <c r="A1071" s="14"/>
      <c r="B1071" s="14"/>
      <c r="C1071" s="14"/>
      <c r="D1071" s="14"/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14"/>
      <c r="AC1071" s="14"/>
      <c r="AD1071" s="14"/>
      <c r="AE1071" s="14"/>
      <c r="AF1071" s="14"/>
      <c r="AG1071" s="14"/>
      <c r="AH1071" s="14"/>
      <c r="AI1071" s="14"/>
      <c r="AJ1071" s="14"/>
      <c r="AK1071" s="14"/>
      <c r="AL1071" s="14"/>
      <c r="AM1071" s="14"/>
      <c r="AN1071" s="14"/>
      <c r="AO1071" s="14"/>
      <c r="AP1071" s="14"/>
    </row>
    <row r="1072" ht="14.25" customHeight="1">
      <c r="A1072" s="14"/>
      <c r="B1072" s="14"/>
      <c r="C1072" s="14"/>
      <c r="D1072" s="14"/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  <c r="AH1072" s="14"/>
      <c r="AI1072" s="14"/>
      <c r="AJ1072" s="14"/>
      <c r="AK1072" s="14"/>
      <c r="AL1072" s="14"/>
      <c r="AM1072" s="14"/>
      <c r="AN1072" s="14"/>
      <c r="AO1072" s="14"/>
      <c r="AP1072" s="14"/>
    </row>
    <row r="1073" ht="14.25" customHeight="1">
      <c r="A1073" s="14"/>
      <c r="B1073" s="14"/>
      <c r="C1073" s="14"/>
      <c r="D1073" s="14"/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  <c r="AA1073" s="14"/>
      <c r="AB1073" s="14"/>
      <c r="AC1073" s="14"/>
      <c r="AD1073" s="14"/>
      <c r="AE1073" s="14"/>
      <c r="AF1073" s="14"/>
      <c r="AG1073" s="14"/>
      <c r="AH1073" s="14"/>
      <c r="AI1073" s="14"/>
      <c r="AJ1073" s="14"/>
      <c r="AK1073" s="14"/>
      <c r="AL1073" s="14"/>
      <c r="AM1073" s="14"/>
      <c r="AN1073" s="14"/>
      <c r="AO1073" s="14"/>
      <c r="AP1073" s="14"/>
    </row>
    <row r="1074" ht="14.25" customHeight="1">
      <c r="A1074" s="14"/>
      <c r="B1074" s="14"/>
      <c r="C1074" s="14"/>
      <c r="D1074" s="14"/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  <c r="AH1074" s="14"/>
      <c r="AI1074" s="14"/>
      <c r="AJ1074" s="14"/>
      <c r="AK1074" s="14"/>
      <c r="AL1074" s="14"/>
      <c r="AM1074" s="14"/>
      <c r="AN1074" s="14"/>
      <c r="AO1074" s="14"/>
      <c r="AP1074" s="14"/>
    </row>
    <row r="1075" ht="14.25" customHeight="1">
      <c r="A1075" s="14"/>
      <c r="B1075" s="14"/>
      <c r="C1075" s="14"/>
      <c r="D1075" s="14"/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  <c r="AH1075" s="14"/>
      <c r="AI1075" s="14"/>
      <c r="AJ1075" s="14"/>
      <c r="AK1075" s="14"/>
      <c r="AL1075" s="14"/>
      <c r="AM1075" s="14"/>
      <c r="AN1075" s="14"/>
      <c r="AO1075" s="14"/>
      <c r="AP1075" s="14"/>
    </row>
    <row r="1076" ht="14.25" customHeight="1">
      <c r="A1076" s="14"/>
      <c r="B1076" s="14"/>
      <c r="C1076" s="14"/>
      <c r="D1076" s="14"/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4"/>
      <c r="AD1076" s="14"/>
      <c r="AE1076" s="14"/>
      <c r="AF1076" s="14"/>
      <c r="AG1076" s="14"/>
      <c r="AH1076" s="14"/>
      <c r="AI1076" s="14"/>
      <c r="AJ1076" s="14"/>
      <c r="AK1076" s="14"/>
      <c r="AL1076" s="14"/>
      <c r="AM1076" s="14"/>
      <c r="AN1076" s="14"/>
      <c r="AO1076" s="14"/>
      <c r="AP1076" s="14"/>
    </row>
    <row r="1077" ht="14.25" customHeight="1">
      <c r="A1077" s="14"/>
      <c r="B1077" s="14"/>
      <c r="C1077" s="14"/>
      <c r="D1077" s="14"/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  <c r="AA1077" s="14"/>
      <c r="AB1077" s="14"/>
      <c r="AC1077" s="14"/>
      <c r="AD1077" s="14"/>
      <c r="AE1077" s="14"/>
      <c r="AF1077" s="14"/>
      <c r="AG1077" s="14"/>
      <c r="AH1077" s="14"/>
      <c r="AI1077" s="14"/>
      <c r="AJ1077" s="14"/>
      <c r="AK1077" s="14"/>
      <c r="AL1077" s="14"/>
      <c r="AM1077" s="14"/>
      <c r="AN1077" s="14"/>
      <c r="AO1077" s="14"/>
      <c r="AP1077" s="14"/>
    </row>
    <row r="1078" ht="14.25" customHeight="1">
      <c r="A1078" s="14"/>
      <c r="B1078" s="14"/>
      <c r="C1078" s="14"/>
      <c r="D1078" s="14"/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  <c r="AA1078" s="14"/>
      <c r="AB1078" s="14"/>
      <c r="AC1078" s="14"/>
      <c r="AD1078" s="14"/>
      <c r="AE1078" s="14"/>
      <c r="AF1078" s="14"/>
      <c r="AG1078" s="14"/>
      <c r="AH1078" s="14"/>
      <c r="AI1078" s="14"/>
      <c r="AJ1078" s="14"/>
      <c r="AK1078" s="14"/>
      <c r="AL1078" s="14"/>
      <c r="AM1078" s="14"/>
      <c r="AN1078" s="14"/>
      <c r="AO1078" s="14"/>
      <c r="AP1078" s="14"/>
    </row>
    <row r="1079" ht="14.25" customHeight="1">
      <c r="A1079" s="14"/>
      <c r="B1079" s="14"/>
      <c r="C1079" s="14"/>
      <c r="D1079" s="14"/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  <c r="AA1079" s="14"/>
      <c r="AB1079" s="14"/>
      <c r="AC1079" s="14"/>
      <c r="AD1079" s="14"/>
      <c r="AE1079" s="14"/>
      <c r="AF1079" s="14"/>
      <c r="AG1079" s="14"/>
      <c r="AH1079" s="14"/>
      <c r="AI1079" s="14"/>
      <c r="AJ1079" s="14"/>
      <c r="AK1079" s="14"/>
      <c r="AL1079" s="14"/>
      <c r="AM1079" s="14"/>
      <c r="AN1079" s="14"/>
      <c r="AO1079" s="14"/>
      <c r="AP1079" s="14"/>
    </row>
    <row r="1080" ht="14.25" customHeight="1">
      <c r="A1080" s="14"/>
      <c r="B1080" s="14"/>
      <c r="C1080" s="14"/>
      <c r="D1080" s="14"/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  <c r="AA1080" s="14"/>
      <c r="AB1080" s="14"/>
      <c r="AC1080" s="14"/>
      <c r="AD1080" s="14"/>
      <c r="AE1080" s="14"/>
      <c r="AF1080" s="14"/>
      <c r="AG1080" s="14"/>
      <c r="AH1080" s="14"/>
      <c r="AI1080" s="14"/>
      <c r="AJ1080" s="14"/>
      <c r="AK1080" s="14"/>
      <c r="AL1080" s="14"/>
      <c r="AM1080" s="14"/>
      <c r="AN1080" s="14"/>
      <c r="AO1080" s="14"/>
      <c r="AP1080" s="14"/>
    </row>
    <row r="1081" ht="14.25" customHeight="1">
      <c r="A1081" s="14"/>
      <c r="B1081" s="14"/>
      <c r="C1081" s="14"/>
      <c r="D1081" s="14"/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  <c r="AA1081" s="14"/>
      <c r="AB1081" s="14"/>
      <c r="AC1081" s="14"/>
      <c r="AD1081" s="14"/>
      <c r="AE1081" s="14"/>
      <c r="AF1081" s="14"/>
      <c r="AG1081" s="14"/>
      <c r="AH1081" s="14"/>
      <c r="AI1081" s="14"/>
      <c r="AJ1081" s="14"/>
      <c r="AK1081" s="14"/>
      <c r="AL1081" s="14"/>
      <c r="AM1081" s="14"/>
      <c r="AN1081" s="14"/>
      <c r="AO1081" s="14"/>
      <c r="AP1081" s="14"/>
    </row>
    <row r="1082" ht="14.25" customHeight="1">
      <c r="A1082" s="14"/>
      <c r="B1082" s="14"/>
      <c r="C1082" s="14"/>
      <c r="D1082" s="14"/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  <c r="AA1082" s="14"/>
      <c r="AB1082" s="14"/>
      <c r="AC1082" s="14"/>
      <c r="AD1082" s="14"/>
      <c r="AE1082" s="14"/>
      <c r="AF1082" s="14"/>
      <c r="AG1082" s="14"/>
      <c r="AH1082" s="14"/>
      <c r="AI1082" s="14"/>
      <c r="AJ1082" s="14"/>
      <c r="AK1082" s="14"/>
      <c r="AL1082" s="14"/>
      <c r="AM1082" s="14"/>
      <c r="AN1082" s="14"/>
      <c r="AO1082" s="14"/>
      <c r="AP1082" s="14"/>
    </row>
  </sheetData>
  <mergeCells count="25">
    <mergeCell ref="A1:AB3"/>
    <mergeCell ref="A5:B5"/>
    <mergeCell ref="C5:D5"/>
    <mergeCell ref="S6:Y6"/>
    <mergeCell ref="S7:Y7"/>
    <mergeCell ref="S9:Z9"/>
    <mergeCell ref="T17:T18"/>
    <mergeCell ref="T38:T39"/>
    <mergeCell ref="T45:T46"/>
    <mergeCell ref="T52:T53"/>
    <mergeCell ref="T59:T60"/>
    <mergeCell ref="T66:T67"/>
    <mergeCell ref="T73:T74"/>
    <mergeCell ref="A46:A47"/>
    <mergeCell ref="A53:A54"/>
    <mergeCell ref="A60:A61"/>
    <mergeCell ref="A67:A68"/>
    <mergeCell ref="A74:A75"/>
    <mergeCell ref="A17:A18"/>
    <mergeCell ref="B22:I22"/>
    <mergeCell ref="T24:T25"/>
    <mergeCell ref="A25:A26"/>
    <mergeCell ref="T31:T32"/>
    <mergeCell ref="A32:A33"/>
    <mergeCell ref="A39:A4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8" width="6.0"/>
  </cols>
  <sheetData>
    <row r="1" ht="12.0" customHeight="1">
      <c r="A1" s="78" t="s">
        <v>58</v>
      </c>
    </row>
    <row r="2" ht="12.0" customHeight="1"/>
    <row r="3" ht="12.0" customHeight="1"/>
    <row r="4" ht="12.0" customHeight="1"/>
    <row r="5" ht="12.0" customHeight="1">
      <c r="B5" s="14" t="s">
        <v>23</v>
      </c>
      <c r="C5" s="62" t="s">
        <v>12</v>
      </c>
      <c r="D5" s="62" t="s">
        <v>13</v>
      </c>
      <c r="E5" s="62" t="s">
        <v>14</v>
      </c>
      <c r="F5" s="62" t="s">
        <v>15</v>
      </c>
      <c r="G5" s="62" t="s">
        <v>16</v>
      </c>
      <c r="H5" s="14"/>
      <c r="I5" s="14"/>
      <c r="J5" s="14"/>
      <c r="L5" s="47" t="s">
        <v>12</v>
      </c>
      <c r="M5" s="47" t="s">
        <v>2</v>
      </c>
      <c r="N5" s="47" t="s">
        <v>3</v>
      </c>
      <c r="O5" s="47" t="s">
        <v>4</v>
      </c>
    </row>
    <row r="6" ht="12.0" customHeight="1">
      <c r="B6" s="63"/>
      <c r="C6" s="63"/>
      <c r="D6" s="64"/>
      <c r="E6" s="63"/>
      <c r="F6" s="63"/>
      <c r="G6" s="63"/>
      <c r="H6" s="14"/>
      <c r="I6" s="14"/>
      <c r="J6" s="14"/>
      <c r="K6" s="47" t="s">
        <v>59</v>
      </c>
      <c r="L6" s="47">
        <v>1.78</v>
      </c>
      <c r="M6" s="47">
        <v>2.03</v>
      </c>
      <c r="N6" s="47">
        <v>0.39</v>
      </c>
      <c r="O6" s="47">
        <v>0.94</v>
      </c>
    </row>
    <row r="7" ht="12.0" customHeight="1">
      <c r="B7" s="65">
        <v>10.0</v>
      </c>
      <c r="C7" s="63"/>
      <c r="D7" s="66">
        <v>2.2</v>
      </c>
      <c r="E7" s="65">
        <v>2.49</v>
      </c>
      <c r="F7" s="65">
        <v>2.41</v>
      </c>
      <c r="G7" s="63"/>
      <c r="H7" s="14"/>
      <c r="I7" s="14"/>
      <c r="J7" s="14"/>
      <c r="K7" s="47">
        <v>5.0</v>
      </c>
      <c r="L7" s="47">
        <v>3.31</v>
      </c>
      <c r="M7" s="47">
        <v>4.29</v>
      </c>
      <c r="N7" s="47">
        <v>0.97</v>
      </c>
      <c r="O7" s="47">
        <v>1.42</v>
      </c>
    </row>
    <row r="8" ht="12.0" customHeight="1">
      <c r="B8" s="65">
        <v>15.0</v>
      </c>
      <c r="C8" s="63"/>
      <c r="D8" s="66">
        <v>2.3</v>
      </c>
      <c r="E8" s="65">
        <v>2.54</v>
      </c>
      <c r="F8" s="65">
        <v>2.47</v>
      </c>
      <c r="G8" s="63"/>
      <c r="H8" s="14"/>
      <c r="I8" s="14"/>
      <c r="J8" s="14"/>
      <c r="K8" s="47">
        <v>10.0</v>
      </c>
      <c r="L8" s="47">
        <v>3.61</v>
      </c>
      <c r="M8" s="47">
        <v>6.11</v>
      </c>
      <c r="N8" s="47">
        <v>1.33</v>
      </c>
      <c r="O8" s="47">
        <v>2.77</v>
      </c>
    </row>
    <row r="9" ht="12.0" customHeight="1">
      <c r="B9" s="63">
        <v>20.0</v>
      </c>
      <c r="C9" s="63"/>
      <c r="D9" s="64">
        <v>2.4</v>
      </c>
      <c r="E9" s="63">
        <v>2.59</v>
      </c>
      <c r="F9" s="63">
        <v>2.53</v>
      </c>
      <c r="G9" s="63"/>
      <c r="H9" s="14"/>
      <c r="I9" s="14"/>
      <c r="J9" s="14"/>
      <c r="K9" s="47">
        <v>15.0</v>
      </c>
      <c r="L9" s="47">
        <v>4.86</v>
      </c>
      <c r="M9" s="47">
        <v>8.54</v>
      </c>
      <c r="N9" s="47">
        <v>4.46</v>
      </c>
      <c r="O9" s="47">
        <v>4.46</v>
      </c>
    </row>
    <row r="10" ht="12.0" customHeight="1">
      <c r="B10" s="47">
        <v>25.0</v>
      </c>
      <c r="C10" s="14"/>
      <c r="D10" s="66">
        <v>2.45</v>
      </c>
      <c r="E10" s="47">
        <v>2.64</v>
      </c>
      <c r="F10" s="47">
        <v>2.59</v>
      </c>
      <c r="G10" s="14"/>
      <c r="H10" s="14"/>
      <c r="I10" s="14"/>
      <c r="J10" s="14"/>
      <c r="K10" s="47">
        <v>20.0</v>
      </c>
      <c r="L10" s="47">
        <v>5.75</v>
      </c>
      <c r="M10" s="47">
        <v>11.26</v>
      </c>
      <c r="N10" s="47">
        <v>4.48</v>
      </c>
      <c r="O10" s="47">
        <v>4.48</v>
      </c>
    </row>
    <row r="11" ht="12.0" customHeight="1">
      <c r="B11" s="47">
        <v>30.0</v>
      </c>
      <c r="C11" s="14"/>
      <c r="D11" s="66">
        <v>2.5</v>
      </c>
      <c r="E11" s="47">
        <v>2.69</v>
      </c>
      <c r="F11" s="47">
        <v>2.67</v>
      </c>
      <c r="G11" s="14"/>
      <c r="H11" s="14"/>
      <c r="I11" s="14"/>
      <c r="J11" s="14"/>
      <c r="K11" s="47">
        <v>25.0</v>
      </c>
      <c r="L11" s="47">
        <v>7.53</v>
      </c>
      <c r="M11" s="47">
        <v>14.23</v>
      </c>
      <c r="N11" s="47">
        <v>4.71</v>
      </c>
      <c r="O11" s="47">
        <v>4.71</v>
      </c>
    </row>
    <row r="12" ht="12.0" customHeight="1">
      <c r="B12" s="47">
        <v>35.0</v>
      </c>
      <c r="C12" s="14"/>
      <c r="D12" s="66">
        <v>2.55</v>
      </c>
      <c r="E12" s="47">
        <v>2.74</v>
      </c>
      <c r="F12" s="47">
        <v>2.76</v>
      </c>
      <c r="G12" s="14"/>
      <c r="H12" s="14"/>
      <c r="I12" s="14"/>
      <c r="J12" s="14"/>
    </row>
    <row r="13" ht="12.0" customHeight="1">
      <c r="B13" s="14">
        <v>40.0</v>
      </c>
      <c r="C13" s="14"/>
      <c r="D13" s="67">
        <v>2.6</v>
      </c>
      <c r="E13" s="14">
        <v>2.78</v>
      </c>
      <c r="F13" s="14">
        <v>2.82</v>
      </c>
      <c r="G13" s="14"/>
      <c r="H13" s="14"/>
      <c r="I13" s="62"/>
      <c r="J13" s="62"/>
    </row>
    <row r="14" ht="12.0" customHeight="1">
      <c r="B14" s="65">
        <v>45.0</v>
      </c>
      <c r="C14" s="63"/>
      <c r="D14" s="66">
        <v>2.62</v>
      </c>
      <c r="E14" s="65">
        <v>2.82</v>
      </c>
      <c r="F14" s="65">
        <v>2.9</v>
      </c>
      <c r="G14" s="63"/>
      <c r="H14" s="14"/>
      <c r="I14" s="62"/>
      <c r="J14" s="62"/>
    </row>
    <row r="15" ht="12.0" customHeight="1">
      <c r="B15" s="65">
        <v>50.0</v>
      </c>
      <c r="C15" s="63"/>
      <c r="D15" s="66">
        <v>2.65</v>
      </c>
      <c r="E15" s="65">
        <v>2.85</v>
      </c>
      <c r="F15" s="65">
        <v>2.98</v>
      </c>
      <c r="G15" s="63"/>
      <c r="H15" s="14"/>
      <c r="I15" s="62"/>
      <c r="J15" s="62"/>
    </row>
    <row r="16" ht="12.0" customHeight="1">
      <c r="B16" s="65">
        <v>55.0</v>
      </c>
      <c r="C16" s="63"/>
      <c r="D16" s="66">
        <v>2.67</v>
      </c>
      <c r="E16" s="65">
        <v>2.88</v>
      </c>
      <c r="F16" s="65">
        <v>3.07</v>
      </c>
      <c r="G16" s="63"/>
      <c r="H16" s="14"/>
      <c r="I16" s="62"/>
      <c r="J16" s="62"/>
    </row>
    <row r="17" ht="12.0" customHeight="1">
      <c r="B17" s="63">
        <v>60.0</v>
      </c>
      <c r="C17" s="63"/>
      <c r="D17" s="64">
        <v>2.7</v>
      </c>
      <c r="E17" s="63">
        <v>2.91</v>
      </c>
      <c r="F17" s="63">
        <v>3.15</v>
      </c>
      <c r="G17" s="63"/>
      <c r="H17" s="14"/>
      <c r="I17" s="62" t="s">
        <v>23</v>
      </c>
      <c r="J17" s="62" t="s">
        <v>24</v>
      </c>
    </row>
    <row r="18" ht="12.0" customHeight="1">
      <c r="B18" s="47">
        <v>65.0</v>
      </c>
      <c r="C18" s="14"/>
      <c r="D18" s="47">
        <v>2.72</v>
      </c>
      <c r="E18" s="47">
        <v>2.92</v>
      </c>
      <c r="F18" s="47">
        <v>3.17</v>
      </c>
      <c r="G18" s="14"/>
      <c r="H18" s="14"/>
      <c r="I18" s="68"/>
      <c r="J18" s="68"/>
    </row>
    <row r="19" ht="12.0" customHeight="1">
      <c r="B19" s="47">
        <v>70.0</v>
      </c>
      <c r="C19" s="14"/>
      <c r="D19" s="47">
        <v>2.73</v>
      </c>
      <c r="E19" s="47">
        <v>2.93</v>
      </c>
      <c r="F19" s="47">
        <v>3.19</v>
      </c>
      <c r="G19" s="14"/>
      <c r="H19" s="14"/>
      <c r="I19" s="68"/>
      <c r="J19" s="68"/>
    </row>
    <row r="20" ht="12.0" customHeight="1">
      <c r="B20" s="47">
        <v>75.0</v>
      </c>
      <c r="C20" s="14"/>
      <c r="D20" s="47">
        <v>2.74</v>
      </c>
      <c r="E20" s="47">
        <v>2.95</v>
      </c>
      <c r="F20" s="47">
        <v>3.22</v>
      </c>
      <c r="G20" s="14"/>
      <c r="H20" s="14"/>
      <c r="I20" s="68"/>
      <c r="J20" s="68"/>
    </row>
    <row r="21" ht="12.0" customHeight="1">
      <c r="B21" s="14">
        <v>80.0</v>
      </c>
      <c r="C21" s="14"/>
      <c r="D21" s="14">
        <v>2.75</v>
      </c>
      <c r="E21" s="14">
        <v>2.96</v>
      </c>
      <c r="F21" s="14">
        <v>3.24</v>
      </c>
      <c r="G21" s="14"/>
      <c r="H21" s="62"/>
      <c r="I21" s="68">
        <v>1.0</v>
      </c>
      <c r="J21" s="68">
        <v>1.0</v>
      </c>
    </row>
    <row r="22" ht="12.0" customHeight="1">
      <c r="B22" s="65">
        <v>85.0</v>
      </c>
      <c r="C22" s="63"/>
      <c r="D22" s="66">
        <v>2.77</v>
      </c>
      <c r="E22" s="65">
        <v>2.97</v>
      </c>
      <c r="F22" s="65">
        <v>3.24</v>
      </c>
      <c r="G22" s="64"/>
      <c r="H22" s="14"/>
      <c r="I22" s="63"/>
      <c r="J22" s="63"/>
    </row>
    <row r="23" ht="12.0" customHeight="1">
      <c r="B23" s="65">
        <v>90.0</v>
      </c>
      <c r="C23" s="63"/>
      <c r="D23" s="66">
        <v>2.78</v>
      </c>
      <c r="E23" s="65">
        <v>2.99</v>
      </c>
      <c r="F23" s="65">
        <v>3.23</v>
      </c>
      <c r="G23" s="64"/>
      <c r="H23" s="14"/>
      <c r="I23" s="63"/>
      <c r="J23" s="63"/>
    </row>
    <row r="24" ht="12.0" customHeight="1">
      <c r="B24" s="65">
        <v>95.0</v>
      </c>
      <c r="C24" s="63"/>
      <c r="D24" s="66">
        <v>2.79</v>
      </c>
      <c r="E24" s="65">
        <v>3.01</v>
      </c>
      <c r="F24" s="65">
        <v>3.23</v>
      </c>
      <c r="G24" s="64"/>
      <c r="H24" s="14"/>
      <c r="I24" s="63"/>
      <c r="J24" s="63"/>
    </row>
    <row r="25" ht="12.0" customHeight="1">
      <c r="B25" s="63">
        <v>100.0</v>
      </c>
      <c r="C25" s="63">
        <v>2.92</v>
      </c>
      <c r="D25" s="64">
        <v>2.8</v>
      </c>
      <c r="E25" s="63">
        <v>3.02</v>
      </c>
      <c r="F25" s="63">
        <v>3.23</v>
      </c>
      <c r="G25" s="64">
        <v>3.8</v>
      </c>
      <c r="H25" s="14"/>
      <c r="I25" s="63">
        <v>3.0</v>
      </c>
      <c r="J25" s="63">
        <v>1.04</v>
      </c>
    </row>
    <row r="26" ht="12.0" customHeight="1">
      <c r="B26" s="47">
        <v>105.0</v>
      </c>
      <c r="C26" s="47">
        <v>2.93</v>
      </c>
      <c r="D26" s="47">
        <v>2.81</v>
      </c>
      <c r="E26" s="47">
        <v>3.03</v>
      </c>
      <c r="F26" s="47">
        <v>3.23</v>
      </c>
      <c r="G26" s="64">
        <v>3.8</v>
      </c>
      <c r="H26" s="14"/>
      <c r="I26" s="14"/>
      <c r="J26" s="14"/>
    </row>
    <row r="27" ht="12.0" customHeight="1">
      <c r="B27" s="47">
        <v>110.0</v>
      </c>
      <c r="C27" s="47">
        <v>2.95</v>
      </c>
      <c r="D27" s="47">
        <v>2.83</v>
      </c>
      <c r="E27" s="47">
        <v>3.04</v>
      </c>
      <c r="F27" s="47">
        <v>3.22</v>
      </c>
      <c r="G27" s="64">
        <v>3.8</v>
      </c>
      <c r="H27" s="14"/>
      <c r="I27" s="14"/>
      <c r="J27" s="14"/>
    </row>
    <row r="28" ht="12.0" customHeight="1">
      <c r="B28" s="14">
        <v>115.0</v>
      </c>
      <c r="C28" s="47">
        <v>2.97</v>
      </c>
      <c r="D28" s="47">
        <v>2.84</v>
      </c>
      <c r="E28" s="47">
        <v>3.06</v>
      </c>
      <c r="F28" s="47">
        <v>3.21</v>
      </c>
      <c r="G28" s="64">
        <v>3.8</v>
      </c>
      <c r="H28" s="14"/>
      <c r="I28" s="14"/>
      <c r="J28" s="14"/>
    </row>
    <row r="29" ht="12.0" customHeight="1">
      <c r="B29" s="47">
        <v>120.0</v>
      </c>
      <c r="C29" s="14">
        <v>2.99</v>
      </c>
      <c r="D29" s="14">
        <v>2.85</v>
      </c>
      <c r="E29" s="14">
        <v>3.08</v>
      </c>
      <c r="F29" s="14">
        <v>3.21</v>
      </c>
      <c r="G29" s="14">
        <v>3.78</v>
      </c>
      <c r="H29" s="14"/>
      <c r="I29" s="14">
        <v>4.0</v>
      </c>
      <c r="J29" s="14">
        <v>1.13</v>
      </c>
    </row>
    <row r="30" ht="12.0" customHeight="1">
      <c r="B30" s="14">
        <v>125.0</v>
      </c>
      <c r="C30" s="65">
        <v>2.99</v>
      </c>
      <c r="D30" s="65">
        <v>2.86</v>
      </c>
      <c r="E30" s="65">
        <v>3.09</v>
      </c>
      <c r="F30" s="65">
        <v>3.21</v>
      </c>
      <c r="G30" s="14">
        <v>3.78</v>
      </c>
      <c r="H30" s="14"/>
      <c r="I30" s="63"/>
      <c r="J30" s="63"/>
    </row>
    <row r="31" ht="12.0" customHeight="1">
      <c r="B31" s="65">
        <v>130.0</v>
      </c>
      <c r="C31" s="65">
        <v>2.97</v>
      </c>
      <c r="D31" s="65">
        <v>2.88</v>
      </c>
      <c r="E31" s="65">
        <v>3.11</v>
      </c>
      <c r="F31" s="65">
        <v>3.21</v>
      </c>
      <c r="G31" s="14">
        <v>3.78</v>
      </c>
      <c r="H31" s="14"/>
      <c r="I31" s="63"/>
      <c r="J31" s="63"/>
    </row>
    <row r="32" ht="12.0" customHeight="1">
      <c r="B32" s="65">
        <v>135.0</v>
      </c>
      <c r="C32" s="65">
        <v>2.97</v>
      </c>
      <c r="D32" s="65">
        <v>2.9</v>
      </c>
      <c r="E32" s="65">
        <v>3.13</v>
      </c>
      <c r="F32" s="65">
        <v>3.22</v>
      </c>
      <c r="G32" s="14">
        <v>3.78</v>
      </c>
      <c r="H32" s="14"/>
      <c r="I32" s="63"/>
      <c r="J32" s="63"/>
    </row>
    <row r="33" ht="12.0" customHeight="1">
      <c r="B33" s="65">
        <v>140.0</v>
      </c>
      <c r="C33" s="63">
        <v>2.97</v>
      </c>
      <c r="D33" s="63">
        <v>2.91</v>
      </c>
      <c r="E33" s="63">
        <v>3.15</v>
      </c>
      <c r="F33" s="63">
        <v>3.22</v>
      </c>
      <c r="G33" s="63">
        <v>3.8</v>
      </c>
      <c r="H33" s="14"/>
      <c r="I33" s="63">
        <v>5.0</v>
      </c>
      <c r="J33" s="63">
        <v>1.23</v>
      </c>
    </row>
    <row r="34" ht="12.0" customHeight="1">
      <c r="B34" s="63">
        <v>145.0</v>
      </c>
      <c r="C34" s="47">
        <v>2.97</v>
      </c>
      <c r="D34" s="47">
        <v>2.93</v>
      </c>
      <c r="E34" s="47">
        <v>3.17</v>
      </c>
      <c r="F34" s="47">
        <v>3.23</v>
      </c>
      <c r="G34" s="63">
        <v>3.8</v>
      </c>
      <c r="H34" s="14"/>
      <c r="I34" s="14"/>
      <c r="J34" s="14"/>
    </row>
    <row r="35" ht="12.0" customHeight="1">
      <c r="B35" s="47">
        <v>150.0</v>
      </c>
      <c r="C35" s="47">
        <v>2.99</v>
      </c>
      <c r="D35" s="47">
        <v>2.95</v>
      </c>
      <c r="E35" s="47">
        <v>3.19</v>
      </c>
      <c r="F35" s="47">
        <v>3.25</v>
      </c>
      <c r="G35" s="63">
        <v>3.8</v>
      </c>
      <c r="H35" s="14"/>
      <c r="I35" s="14"/>
      <c r="J35" s="14"/>
    </row>
    <row r="36" ht="12.0" customHeight="1">
      <c r="B36" s="47">
        <v>155.0</v>
      </c>
      <c r="C36" s="47">
        <v>2.99</v>
      </c>
      <c r="D36" s="47">
        <v>2.97</v>
      </c>
      <c r="E36" s="47">
        <v>3.21</v>
      </c>
      <c r="F36" s="47">
        <v>3.26</v>
      </c>
      <c r="G36" s="63">
        <v>3.8</v>
      </c>
      <c r="H36" s="14"/>
      <c r="I36" s="14"/>
      <c r="J36" s="14"/>
    </row>
    <row r="37" ht="12.0" customHeight="1">
      <c r="B37" s="14">
        <v>160.0</v>
      </c>
      <c r="C37" s="14">
        <v>2.99</v>
      </c>
      <c r="D37" s="14">
        <v>2.98</v>
      </c>
      <c r="E37" s="14">
        <v>3.23</v>
      </c>
      <c r="F37" s="14">
        <v>3.28</v>
      </c>
      <c r="G37" s="14">
        <v>3.81</v>
      </c>
      <c r="H37" s="14"/>
      <c r="I37" s="14">
        <v>6.0</v>
      </c>
      <c r="J37" s="14">
        <v>1.34</v>
      </c>
    </row>
    <row r="38" ht="12.0" customHeight="1">
      <c r="B38" s="47">
        <v>165.0</v>
      </c>
      <c r="C38" s="65">
        <v>3.01</v>
      </c>
      <c r="D38" s="65">
        <v>3.0</v>
      </c>
      <c r="E38" s="65">
        <v>3.25</v>
      </c>
      <c r="F38" s="66">
        <v>3.3</v>
      </c>
      <c r="G38" s="14">
        <v>3.81</v>
      </c>
      <c r="H38" s="14"/>
      <c r="I38" s="63"/>
      <c r="J38" s="63"/>
    </row>
    <row r="39" ht="12.0" customHeight="1">
      <c r="B39" s="14">
        <v>170.0</v>
      </c>
      <c r="C39" s="65">
        <v>3.02</v>
      </c>
      <c r="D39" s="65">
        <v>3.03</v>
      </c>
      <c r="E39" s="65">
        <v>3.27</v>
      </c>
      <c r="F39" s="66">
        <v>3.33</v>
      </c>
      <c r="G39" s="14">
        <v>3.81</v>
      </c>
      <c r="H39" s="14"/>
      <c r="I39" s="63"/>
      <c r="J39" s="63"/>
    </row>
    <row r="40" ht="12.0" customHeight="1">
      <c r="B40" s="65">
        <v>175.0</v>
      </c>
      <c r="C40" s="65">
        <v>3.04</v>
      </c>
      <c r="D40" s="65">
        <v>3.06</v>
      </c>
      <c r="E40" s="65">
        <v>3.29</v>
      </c>
      <c r="F40" s="66">
        <v>3.36</v>
      </c>
      <c r="G40" s="65">
        <v>3.81</v>
      </c>
      <c r="H40" s="14"/>
      <c r="I40" s="63"/>
      <c r="J40" s="63"/>
    </row>
    <row r="41" ht="12.0" customHeight="1">
      <c r="B41" s="65">
        <v>180.0</v>
      </c>
      <c r="C41" s="63">
        <v>3.05</v>
      </c>
      <c r="D41" s="63">
        <v>3.08</v>
      </c>
      <c r="E41" s="63">
        <v>3.31</v>
      </c>
      <c r="F41" s="64">
        <v>3.4</v>
      </c>
      <c r="G41" s="63">
        <v>3.82</v>
      </c>
      <c r="H41" s="14"/>
      <c r="I41" s="63">
        <v>7.0</v>
      </c>
      <c r="J41" s="63">
        <v>1.42</v>
      </c>
    </row>
    <row r="42" ht="12.0" customHeight="1">
      <c r="B42" s="65">
        <v>185.0</v>
      </c>
      <c r="C42" s="47">
        <v>3.07</v>
      </c>
      <c r="D42" s="47">
        <v>3.11</v>
      </c>
      <c r="E42" s="47">
        <v>3.34</v>
      </c>
      <c r="F42" s="47">
        <v>3.43</v>
      </c>
      <c r="G42" s="47">
        <v>3.83</v>
      </c>
      <c r="H42" s="14"/>
      <c r="I42" s="14"/>
      <c r="J42" s="67"/>
    </row>
    <row r="43" ht="12.0" customHeight="1">
      <c r="B43" s="63">
        <v>190.0</v>
      </c>
      <c r="C43" s="47">
        <v>3.09</v>
      </c>
      <c r="D43" s="47">
        <v>3.13</v>
      </c>
      <c r="E43" s="47">
        <v>3.37</v>
      </c>
      <c r="F43" s="47">
        <v>3.47</v>
      </c>
      <c r="G43" s="47">
        <v>3.84</v>
      </c>
      <c r="H43" s="14"/>
      <c r="I43" s="14"/>
      <c r="J43" s="67"/>
    </row>
    <row r="44" ht="12.0" customHeight="1">
      <c r="B44" s="47">
        <v>195.0</v>
      </c>
      <c r="C44" s="47">
        <v>3.11</v>
      </c>
      <c r="D44" s="47">
        <v>3.16</v>
      </c>
      <c r="E44" s="47">
        <v>3.4</v>
      </c>
      <c r="F44" s="47">
        <v>3.51</v>
      </c>
      <c r="G44" s="47">
        <v>3.86</v>
      </c>
      <c r="H44" s="14"/>
      <c r="I44" s="14"/>
      <c r="J44" s="67"/>
    </row>
    <row r="45" ht="12.0" customHeight="1">
      <c r="B45" s="14">
        <v>200.0</v>
      </c>
      <c r="C45" s="14">
        <v>3.12</v>
      </c>
      <c r="D45" s="14">
        <v>3.19</v>
      </c>
      <c r="E45" s="14">
        <v>3.42</v>
      </c>
      <c r="F45" s="14">
        <v>3.55</v>
      </c>
      <c r="G45" s="14">
        <v>3.87</v>
      </c>
      <c r="H45" s="14"/>
      <c r="I45" s="14">
        <v>8.0</v>
      </c>
      <c r="J45" s="67">
        <v>1.5</v>
      </c>
    </row>
    <row r="46" ht="12.0" customHeight="1">
      <c r="B46" s="65">
        <v>210.0</v>
      </c>
      <c r="C46" s="65">
        <v>3.14</v>
      </c>
      <c r="D46" s="65">
        <v>3.26</v>
      </c>
      <c r="E46" s="65">
        <v>3.48</v>
      </c>
      <c r="F46" s="66">
        <v>3.62</v>
      </c>
      <c r="G46" s="65">
        <v>3.89</v>
      </c>
      <c r="H46" s="14"/>
      <c r="I46" s="63"/>
      <c r="J46" s="63"/>
    </row>
    <row r="47" ht="12.0" customHeight="1">
      <c r="B47" s="63">
        <v>220.0</v>
      </c>
      <c r="C47" s="63">
        <v>3.17</v>
      </c>
      <c r="D47" s="63">
        <v>3.32</v>
      </c>
      <c r="E47" s="63">
        <v>3.53</v>
      </c>
      <c r="F47" s="64">
        <v>3.7</v>
      </c>
      <c r="G47" s="63">
        <v>3.92</v>
      </c>
      <c r="H47" s="14"/>
      <c r="I47" s="63">
        <v>9.0</v>
      </c>
      <c r="J47" s="63">
        <v>1.56</v>
      </c>
    </row>
    <row r="48" ht="12.0" customHeight="1">
      <c r="B48" s="47">
        <v>230.0</v>
      </c>
      <c r="C48" s="47">
        <v>3.21</v>
      </c>
      <c r="D48" s="47">
        <v>3.39</v>
      </c>
      <c r="E48" s="47">
        <v>3.8</v>
      </c>
      <c r="F48" s="47">
        <v>3.77</v>
      </c>
      <c r="G48" s="47">
        <v>3.95</v>
      </c>
      <c r="H48" s="14"/>
      <c r="I48" s="14"/>
      <c r="J48" s="14"/>
    </row>
    <row r="49" ht="12.0" customHeight="1">
      <c r="B49" s="14">
        <v>240.0</v>
      </c>
      <c r="C49" s="14">
        <v>3.25</v>
      </c>
      <c r="D49" s="14">
        <v>3.45</v>
      </c>
      <c r="E49" s="14">
        <v>3.64</v>
      </c>
      <c r="F49" s="14">
        <v>3.84</v>
      </c>
      <c r="G49" s="14">
        <v>3.97</v>
      </c>
      <c r="H49" s="14"/>
      <c r="I49" s="14">
        <v>10.0</v>
      </c>
      <c r="J49" s="14">
        <v>1.61</v>
      </c>
    </row>
    <row r="50" ht="12.0" customHeight="1">
      <c r="B50" s="65">
        <v>250.0</v>
      </c>
      <c r="C50" s="65">
        <v>3.35</v>
      </c>
      <c r="D50" s="65">
        <v>3.52</v>
      </c>
      <c r="E50" s="65">
        <v>3.69</v>
      </c>
      <c r="F50" s="65">
        <v>3.88</v>
      </c>
      <c r="G50" s="65">
        <v>4.0</v>
      </c>
      <c r="H50" s="14"/>
      <c r="I50" s="63"/>
      <c r="J50" s="63"/>
    </row>
    <row r="51" ht="12.0" customHeight="1">
      <c r="B51" s="63">
        <v>260.0</v>
      </c>
      <c r="C51" s="63">
        <v>3.45</v>
      </c>
      <c r="D51" s="63">
        <v>3.58</v>
      </c>
      <c r="E51" s="63">
        <v>3.74</v>
      </c>
      <c r="F51" s="63">
        <v>3.93</v>
      </c>
      <c r="G51" s="63">
        <v>4.03</v>
      </c>
      <c r="H51" s="14"/>
      <c r="I51" s="63">
        <v>15.0</v>
      </c>
      <c r="J51" s="63">
        <v>1.78</v>
      </c>
    </row>
    <row r="52" ht="12.0" customHeight="1">
      <c r="B52" s="47">
        <v>270.0</v>
      </c>
      <c r="C52" s="47">
        <v>3.55</v>
      </c>
      <c r="D52" s="47">
        <v>3.63</v>
      </c>
      <c r="E52" s="47">
        <v>3.78</v>
      </c>
      <c r="F52" s="69">
        <v>3.96</v>
      </c>
      <c r="G52" s="69">
        <v>4.07</v>
      </c>
      <c r="H52" s="14"/>
      <c r="I52" s="14"/>
      <c r="J52" s="14"/>
    </row>
    <row r="53" ht="12.0" customHeight="1">
      <c r="B53" s="14">
        <v>280.0</v>
      </c>
      <c r="C53" s="14">
        <v>3.65</v>
      </c>
      <c r="D53" s="14">
        <v>3.69</v>
      </c>
      <c r="E53" s="14">
        <v>3.83</v>
      </c>
      <c r="F53" s="67">
        <v>4.0</v>
      </c>
      <c r="G53" s="67">
        <v>4.1</v>
      </c>
      <c r="H53" s="14"/>
      <c r="I53" s="14">
        <v>20.0</v>
      </c>
      <c r="J53" s="14">
        <v>1.87</v>
      </c>
    </row>
    <row r="54" ht="12.0" customHeight="1">
      <c r="B54" s="65">
        <v>290.0</v>
      </c>
      <c r="C54" s="65">
        <v>3.68</v>
      </c>
      <c r="D54" s="65">
        <v>3.74</v>
      </c>
      <c r="E54" s="66">
        <v>3.87</v>
      </c>
      <c r="F54" s="65">
        <v>4.02</v>
      </c>
      <c r="G54" s="66">
        <v>4.15</v>
      </c>
      <c r="H54" s="14"/>
      <c r="I54" s="63"/>
      <c r="J54" s="63"/>
    </row>
    <row r="55" ht="12.0" customHeight="1">
      <c r="B55" s="63">
        <v>300.0</v>
      </c>
      <c r="C55" s="63">
        <v>3.71</v>
      </c>
      <c r="D55" s="63">
        <v>3.78</v>
      </c>
      <c r="E55" s="64">
        <v>3.9</v>
      </c>
      <c r="F55" s="63">
        <v>4.04</v>
      </c>
      <c r="G55" s="64">
        <v>4.2</v>
      </c>
      <c r="H55" s="14"/>
      <c r="I55" s="63">
        <v>30.0</v>
      </c>
      <c r="J55" s="63">
        <v>1.98</v>
      </c>
    </row>
    <row r="56" ht="12.0" customHeight="1">
      <c r="B56" s="14">
        <v>320.0</v>
      </c>
      <c r="C56" s="14">
        <v>3.79</v>
      </c>
      <c r="D56" s="14">
        <v>3.84</v>
      </c>
      <c r="E56" s="14">
        <v>3.95</v>
      </c>
      <c r="F56" s="14">
        <v>4.12</v>
      </c>
      <c r="G56" s="14">
        <v>4.31</v>
      </c>
      <c r="H56" s="14"/>
      <c r="I56" s="14">
        <v>40.0</v>
      </c>
      <c r="J56" s="14">
        <v>2.06</v>
      </c>
    </row>
    <row r="57" ht="12.0" customHeight="1">
      <c r="B57" s="63">
        <v>340.0</v>
      </c>
      <c r="C57" s="63">
        <v>3.86</v>
      </c>
      <c r="D57" s="63">
        <v>3.88</v>
      </c>
      <c r="E57" s="63">
        <v>4.02</v>
      </c>
      <c r="F57" s="63">
        <v>4.26</v>
      </c>
      <c r="G57" s="63">
        <v>4.44</v>
      </c>
      <c r="H57" s="14"/>
      <c r="I57" s="63">
        <v>50.0</v>
      </c>
      <c r="J57" s="63">
        <v>2.14</v>
      </c>
    </row>
    <row r="58" ht="12.0" customHeight="1">
      <c r="B58" s="14">
        <v>360.0</v>
      </c>
      <c r="C58" s="14">
        <v>3.92</v>
      </c>
      <c r="D58" s="14">
        <v>3.95</v>
      </c>
      <c r="E58" s="14">
        <v>4.11</v>
      </c>
      <c r="F58" s="14">
        <v>4.41</v>
      </c>
      <c r="G58" s="14">
        <v>4.56</v>
      </c>
      <c r="H58" s="14"/>
      <c r="I58" s="14">
        <v>60.0</v>
      </c>
      <c r="J58" s="14">
        <v>2.21</v>
      </c>
    </row>
    <row r="59" ht="12.0" customHeight="1">
      <c r="B59" s="63">
        <v>380.0</v>
      </c>
      <c r="C59" s="63">
        <v>3.96</v>
      </c>
      <c r="D59" s="63">
        <v>4.03</v>
      </c>
      <c r="E59" s="63">
        <v>4.21</v>
      </c>
      <c r="F59" s="63">
        <v>4.55</v>
      </c>
      <c r="G59" s="63">
        <v>4.66</v>
      </c>
      <c r="H59" s="14"/>
      <c r="I59" s="63">
        <v>90.0</v>
      </c>
      <c r="J59" s="64">
        <v>2.4</v>
      </c>
    </row>
    <row r="60" ht="12.0" customHeight="1">
      <c r="B60" s="14">
        <v>400.0</v>
      </c>
      <c r="C60" s="14">
        <v>3.99</v>
      </c>
      <c r="D60" s="14">
        <v>4.11</v>
      </c>
      <c r="E60" s="67">
        <v>4.3</v>
      </c>
      <c r="F60" s="14">
        <v>4.69</v>
      </c>
      <c r="G60" s="14">
        <v>4.75</v>
      </c>
      <c r="H60" s="14"/>
      <c r="I60" s="14"/>
      <c r="J60" s="14"/>
    </row>
    <row r="61" ht="12.0" customHeight="1">
      <c r="B61" s="63">
        <v>420.0</v>
      </c>
      <c r="C61" s="63">
        <v>4.02</v>
      </c>
      <c r="D61" s="63">
        <v>4.15</v>
      </c>
      <c r="E61" s="63">
        <v>4.34</v>
      </c>
      <c r="F61" s="63">
        <v>4.73</v>
      </c>
      <c r="G61" s="63">
        <v>4.79</v>
      </c>
      <c r="H61" s="14"/>
      <c r="I61" s="14"/>
      <c r="J61" s="14"/>
    </row>
    <row r="62" ht="12.0" customHeight="1">
      <c r="B62" s="14">
        <v>440.0</v>
      </c>
      <c r="C62" s="14">
        <v>4.08</v>
      </c>
      <c r="D62" s="67">
        <v>4.2</v>
      </c>
      <c r="E62" s="14">
        <v>4.39</v>
      </c>
      <c r="F62" s="14">
        <v>4.78</v>
      </c>
      <c r="G62" s="14">
        <v>4.84</v>
      </c>
      <c r="H62" s="14"/>
      <c r="I62" s="14"/>
      <c r="J62" s="14"/>
    </row>
    <row r="63" ht="12.0" customHeight="1">
      <c r="B63" s="63">
        <v>460.0</v>
      </c>
      <c r="C63" s="63">
        <v>4.17</v>
      </c>
      <c r="D63" s="63">
        <v>4.29</v>
      </c>
      <c r="E63" s="63">
        <v>4.48</v>
      </c>
      <c r="F63" s="63">
        <v>4.87</v>
      </c>
      <c r="G63" s="63">
        <v>4.93</v>
      </c>
      <c r="H63" s="14"/>
      <c r="I63" s="14"/>
      <c r="J63" s="14"/>
    </row>
    <row r="64" ht="12.0" customHeight="1">
      <c r="B64" s="14">
        <v>480.0</v>
      </c>
      <c r="C64" s="14">
        <v>4.28</v>
      </c>
      <c r="D64" s="67">
        <v>4.4</v>
      </c>
      <c r="E64" s="14">
        <v>4.59</v>
      </c>
      <c r="F64" s="14">
        <v>4.98</v>
      </c>
      <c r="G64" s="14">
        <v>5.04</v>
      </c>
      <c r="H64" s="14"/>
      <c r="I64" s="14"/>
      <c r="J64" s="14"/>
    </row>
    <row r="65" ht="12.0" customHeight="1">
      <c r="B65" s="63">
        <v>500.0</v>
      </c>
      <c r="C65" s="63">
        <v>4.41</v>
      </c>
      <c r="D65" s="63">
        <v>4.53</v>
      </c>
      <c r="E65" s="63">
        <v>4.72</v>
      </c>
      <c r="F65" s="63">
        <v>5.11</v>
      </c>
      <c r="G65" s="63">
        <v>5.17</v>
      </c>
      <c r="H65" s="14"/>
      <c r="I65" s="14"/>
      <c r="J65" s="14"/>
    </row>
    <row r="66" ht="12.0" customHeight="1">
      <c r="B66" s="14">
        <v>520.0</v>
      </c>
      <c r="C66" s="14">
        <v>4.54</v>
      </c>
      <c r="D66" s="14">
        <v>4.85</v>
      </c>
      <c r="E66" s="14">
        <v>4.85</v>
      </c>
      <c r="F66" s="14">
        <v>5.24</v>
      </c>
      <c r="G66" s="67">
        <v>5.3</v>
      </c>
      <c r="H66" s="14"/>
      <c r="I66" s="14"/>
      <c r="J66" s="14"/>
    </row>
    <row r="67" ht="12.0" customHeight="1">
      <c r="B67" s="63">
        <v>540.0</v>
      </c>
      <c r="C67" s="63">
        <v>4.65</v>
      </c>
      <c r="D67" s="63">
        <v>4.97</v>
      </c>
      <c r="E67" s="63">
        <v>4.97</v>
      </c>
      <c r="F67" s="63">
        <v>5.36</v>
      </c>
      <c r="G67" s="63">
        <v>5.42</v>
      </c>
      <c r="H67" s="14"/>
      <c r="I67" s="14"/>
      <c r="J67" s="14"/>
    </row>
    <row r="68" ht="12.0" customHeight="1">
      <c r="B68" s="14">
        <v>560.0</v>
      </c>
      <c r="C68" s="14">
        <v>4.74</v>
      </c>
      <c r="D68" s="14">
        <v>5.05</v>
      </c>
      <c r="E68" s="14">
        <v>5.05</v>
      </c>
      <c r="F68" s="14">
        <v>5.44</v>
      </c>
      <c r="G68" s="67">
        <v>5.5</v>
      </c>
      <c r="H68" s="14"/>
      <c r="I68" s="14"/>
      <c r="J68" s="14"/>
    </row>
    <row r="69" ht="12.0" customHeight="1">
      <c r="B69" s="63">
        <v>580.0</v>
      </c>
      <c r="C69" s="63">
        <v>4.79</v>
      </c>
      <c r="D69" s="64">
        <v>5.1</v>
      </c>
      <c r="E69" s="64">
        <v>5.1</v>
      </c>
      <c r="F69" s="63">
        <v>5.49</v>
      </c>
      <c r="G69" s="63">
        <v>5.55</v>
      </c>
      <c r="H69" s="14"/>
      <c r="I69" s="14"/>
      <c r="J69" s="14"/>
    </row>
    <row r="70" ht="12.0" customHeight="1">
      <c r="B70" s="14">
        <v>600.0</v>
      </c>
      <c r="C70" s="14">
        <v>4.82</v>
      </c>
      <c r="D70" s="14">
        <v>5.13</v>
      </c>
      <c r="E70" s="14">
        <v>5.13</v>
      </c>
      <c r="F70" s="14">
        <v>5.52</v>
      </c>
      <c r="G70" s="14">
        <v>5.58</v>
      </c>
      <c r="H70" s="14"/>
      <c r="I70" s="14"/>
      <c r="J70" s="14"/>
    </row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  <row r="1001" ht="12.0" customHeight="1"/>
    <row r="1002" ht="12.0" customHeight="1"/>
    <row r="1003" ht="12.0" customHeight="1"/>
  </sheetData>
  <mergeCells count="1">
    <mergeCell ref="A1:P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3.63"/>
    <col customWidth="1" min="3" max="9" width="5.25"/>
    <col customWidth="1" min="10" max="17" width="0.38"/>
    <col customWidth="1" min="18" max="18" width="8.38"/>
    <col customWidth="1" min="19" max="19" width="6.0"/>
    <col customWidth="1" min="20" max="20" width="11.88"/>
    <col customWidth="1" min="21" max="21" width="4.25"/>
    <col customWidth="1" min="22" max="28" width="5.25"/>
    <col customWidth="1" min="29" max="36" width="0.38"/>
    <col customWidth="1" min="37" max="37" width="9.63"/>
  </cols>
  <sheetData>
    <row r="1" ht="12.75" customHeight="1">
      <c r="A1" s="14"/>
      <c r="B1" s="47"/>
      <c r="C1" s="47" t="s">
        <v>0</v>
      </c>
      <c r="E1" s="47" t="b">
        <v>1</v>
      </c>
      <c r="F1" s="47"/>
      <c r="G1" s="47"/>
      <c r="H1" s="47"/>
      <c r="I1" s="47"/>
      <c r="J1" s="14"/>
      <c r="K1" s="47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ht="12.75" customHeight="1">
      <c r="A2" s="14"/>
      <c r="C2" s="79"/>
      <c r="D2" s="49" t="s">
        <v>1</v>
      </c>
      <c r="E2" s="54" t="s">
        <v>2</v>
      </c>
      <c r="F2" s="55" t="s">
        <v>3</v>
      </c>
      <c r="G2" s="56" t="s">
        <v>4</v>
      </c>
      <c r="H2" s="47"/>
      <c r="I2" s="47"/>
      <c r="J2" s="14"/>
      <c r="K2" s="47"/>
      <c r="L2" s="14"/>
      <c r="M2" s="14"/>
      <c r="N2" s="14"/>
      <c r="O2" s="14"/>
      <c r="P2" s="14"/>
      <c r="Q2" s="14"/>
      <c r="R2" s="14"/>
      <c r="S2" s="47" t="s">
        <v>5</v>
      </c>
      <c r="Z2" s="47"/>
      <c r="AA2" s="71"/>
      <c r="AB2" s="14"/>
      <c r="AC2" s="47">
        <v>1.78</v>
      </c>
      <c r="AD2" s="47">
        <v>2.03</v>
      </c>
      <c r="AE2" s="47">
        <v>0.39</v>
      </c>
      <c r="AF2" s="47">
        <v>0.94</v>
      </c>
      <c r="AG2" s="47"/>
      <c r="AH2" s="47"/>
      <c r="AI2" s="47"/>
      <c r="AJ2" s="47"/>
      <c r="AK2" s="47"/>
    </row>
    <row r="3" ht="12.75" customHeight="1">
      <c r="A3" s="14"/>
      <c r="C3" s="47" t="s">
        <v>6</v>
      </c>
      <c r="D3" s="14">
        <f>R12+R20+R27+R34+R41+R48+R55+R62+R69+AK12+AK19+AK26+AK33+AK40+AK47+AK54+AK61+AK68</f>
        <v>-8.07</v>
      </c>
      <c r="E3" s="14">
        <f>R13+R14+R21+R22+R28+R29+R35+R36+R42+R43+R49+R50+R56+R57+R63+R64+R70+R71+AK13+AK14+AK20+AK21+AK27+AK28+AK34+AK35+AK41+AK42+AK48+AK49+AK55+AK56+AK62+AK63+AK69+AK70</f>
        <v>-1.69</v>
      </c>
      <c r="F3" s="14">
        <f>R15+R23++R30+R37+R44+R51+R58+R65+R72+AK15+AK22+AK29+AK36+AK43+AK50+AK57+AK64+AK71</f>
        <v>-1.61</v>
      </c>
      <c r="G3" s="14">
        <f>R16+R17+R24+R25+R31+R32++R38+R39+R45+R46+R52+R53+R59+R60+R66+R67+R73+R74+AK16+AK17+AK23+AK24+AK30+AK31+AK37+AK38+AK44+AK45+AK51+AK52+AK58+AK59+AK65+AK66+AK72+AK73</f>
        <v>-2.12</v>
      </c>
      <c r="H3" s="47"/>
      <c r="I3" s="47"/>
      <c r="J3" s="14"/>
      <c r="K3" s="47"/>
      <c r="L3" s="14"/>
      <c r="M3" s="14"/>
      <c r="N3" s="14"/>
      <c r="O3" s="14"/>
      <c r="P3" s="14"/>
      <c r="Q3" s="14"/>
      <c r="R3" s="14"/>
      <c r="S3" s="47" t="s">
        <v>9</v>
      </c>
      <c r="Z3" s="47"/>
      <c r="AA3" s="72"/>
      <c r="AB3" s="14"/>
      <c r="AC3" s="47">
        <v>3.31</v>
      </c>
      <c r="AD3" s="47">
        <v>4.29</v>
      </c>
      <c r="AE3" s="47">
        <v>0.97</v>
      </c>
      <c r="AF3" s="47">
        <v>1.42</v>
      </c>
      <c r="AG3" s="47"/>
      <c r="AH3" s="47"/>
      <c r="AI3" s="47"/>
      <c r="AJ3" s="47"/>
      <c r="AK3" s="47"/>
    </row>
    <row r="4" ht="12.75" customHeight="1">
      <c r="A4" s="14"/>
      <c r="C4" s="47" t="s">
        <v>8</v>
      </c>
      <c r="D4" s="67">
        <f t="shared" ref="D4:G4" si="1">IF($E$1=FALSE, D$3+AC2, D$3+AC2/2)</f>
        <v>-7.18</v>
      </c>
      <c r="E4" s="67">
        <f t="shared" si="1"/>
        <v>-0.675</v>
      </c>
      <c r="F4" s="67">
        <f t="shared" si="1"/>
        <v>-1.415</v>
      </c>
      <c r="G4" s="67">
        <f t="shared" si="1"/>
        <v>-1.65</v>
      </c>
      <c r="H4" s="47"/>
      <c r="I4" s="47"/>
      <c r="J4" s="14"/>
      <c r="K4" s="47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47">
        <v>3.61</v>
      </c>
      <c r="AD4" s="47">
        <v>6.11</v>
      </c>
      <c r="AE4" s="47">
        <v>1.33</v>
      </c>
      <c r="AF4" s="47">
        <v>2.77</v>
      </c>
      <c r="AG4" s="47"/>
      <c r="AH4" s="47"/>
      <c r="AI4" s="47"/>
      <c r="AJ4" s="47"/>
      <c r="AK4" s="47"/>
    </row>
    <row r="5" ht="12.75" customHeight="1">
      <c r="A5" s="14"/>
      <c r="C5" s="47">
        <v>5.0</v>
      </c>
      <c r="D5" s="67">
        <f t="shared" ref="D5:G5" si="2">IF($E$1=FALSE, D$3+AC3, D$3+AC3/2)</f>
        <v>-6.415</v>
      </c>
      <c r="E5" s="67">
        <f t="shared" si="2"/>
        <v>0.455</v>
      </c>
      <c r="F5" s="67">
        <f t="shared" si="2"/>
        <v>-1.125</v>
      </c>
      <c r="G5" s="67">
        <f t="shared" si="2"/>
        <v>-1.41</v>
      </c>
      <c r="H5" s="47"/>
      <c r="I5" s="47"/>
      <c r="J5" s="14"/>
      <c r="K5" s="47"/>
      <c r="L5" s="14"/>
      <c r="M5" s="14"/>
      <c r="N5" s="14"/>
      <c r="O5" s="14"/>
      <c r="P5" s="14"/>
      <c r="Q5" s="14"/>
      <c r="R5" s="14"/>
      <c r="S5" s="47" t="s">
        <v>10</v>
      </c>
      <c r="AA5" s="14"/>
      <c r="AB5" s="14"/>
      <c r="AC5" s="47">
        <v>4.86</v>
      </c>
      <c r="AD5" s="47">
        <v>8.54</v>
      </c>
      <c r="AE5" s="47">
        <v>4.46</v>
      </c>
      <c r="AF5" s="47">
        <v>4.46</v>
      </c>
      <c r="AG5" s="47"/>
      <c r="AH5" s="47"/>
      <c r="AI5" s="47"/>
      <c r="AJ5" s="47"/>
      <c r="AK5" s="47"/>
    </row>
    <row r="6" ht="12.75" customHeight="1">
      <c r="A6" s="14"/>
      <c r="C6" s="47">
        <v>10.0</v>
      </c>
      <c r="D6" s="67">
        <f t="shared" ref="D6:G6" si="3">IF($E$1=FALSE, D$3+AC4, D$3+AC4/2)</f>
        <v>-6.265</v>
      </c>
      <c r="E6" s="67">
        <f t="shared" si="3"/>
        <v>1.365</v>
      </c>
      <c r="F6" s="67">
        <f t="shared" si="3"/>
        <v>-0.945</v>
      </c>
      <c r="G6" s="67">
        <f t="shared" si="3"/>
        <v>-0.735</v>
      </c>
      <c r="H6" s="47"/>
      <c r="I6" s="47"/>
      <c r="J6" s="14"/>
      <c r="K6" s="47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47">
        <v>5.75</v>
      </c>
      <c r="AD6" s="47">
        <v>11.26</v>
      </c>
      <c r="AE6" s="47">
        <v>4.48</v>
      </c>
      <c r="AF6" s="47">
        <v>4.48</v>
      </c>
      <c r="AG6" s="47"/>
      <c r="AH6" s="47"/>
      <c r="AI6" s="47"/>
      <c r="AJ6" s="47"/>
      <c r="AK6" s="47"/>
    </row>
    <row r="7" ht="12.75" customHeight="1">
      <c r="A7" s="14"/>
      <c r="C7" s="47">
        <v>15.0</v>
      </c>
      <c r="D7" s="67">
        <f t="shared" ref="D7:G7" si="4">IF($E$1=FALSE, D$3+AC5, D$3+AC5/2)</f>
        <v>-5.64</v>
      </c>
      <c r="E7" s="67">
        <f t="shared" si="4"/>
        <v>2.58</v>
      </c>
      <c r="F7" s="67">
        <f t="shared" si="4"/>
        <v>0.62</v>
      </c>
      <c r="G7" s="67">
        <f t="shared" si="4"/>
        <v>0.11</v>
      </c>
      <c r="H7" s="47"/>
      <c r="I7" s="47"/>
      <c r="J7" s="14"/>
      <c r="K7" s="47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47">
        <v>7.53</v>
      </c>
      <c r="AD7" s="47">
        <v>14.23</v>
      </c>
      <c r="AE7" s="47">
        <v>4.71</v>
      </c>
      <c r="AF7" s="47">
        <v>4.71</v>
      </c>
      <c r="AG7" s="47"/>
      <c r="AH7" s="47"/>
      <c r="AI7" s="47"/>
      <c r="AJ7" s="47"/>
      <c r="AK7" s="47"/>
    </row>
    <row r="8" ht="12.75" customHeight="1">
      <c r="A8" s="14"/>
      <c r="C8" s="47">
        <v>20.0</v>
      </c>
      <c r="D8" s="67">
        <f t="shared" ref="D8:G8" si="5">IF($E$1=FALSE, D$3+AC6, D$3+AC6/2)</f>
        <v>-5.195</v>
      </c>
      <c r="E8" s="67">
        <f t="shared" si="5"/>
        <v>3.94</v>
      </c>
      <c r="F8" s="67">
        <f t="shared" si="5"/>
        <v>0.63</v>
      </c>
      <c r="G8" s="67">
        <f t="shared" si="5"/>
        <v>0.12</v>
      </c>
      <c r="H8" s="47"/>
      <c r="I8" s="47"/>
      <c r="J8" s="14"/>
      <c r="K8" s="47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 ht="12.75" customHeight="1">
      <c r="A9" s="14"/>
      <c r="C9" s="47">
        <v>25.0</v>
      </c>
      <c r="D9" s="67">
        <f t="shared" ref="D9:G9" si="6">IF($E$1=FALSE, D$3+AC7, D$3+AC7/2)</f>
        <v>-4.305</v>
      </c>
      <c r="E9" s="67">
        <f t="shared" si="6"/>
        <v>5.425</v>
      </c>
      <c r="F9" s="67">
        <f t="shared" si="6"/>
        <v>0.745</v>
      </c>
      <c r="G9" s="67">
        <f t="shared" si="6"/>
        <v>0.235</v>
      </c>
      <c r="H9" s="47"/>
      <c r="I9" s="47"/>
      <c r="J9" s="14"/>
      <c r="K9" s="47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 ht="12.75" customHeight="1">
      <c r="A10" s="14"/>
      <c r="B10" s="47"/>
      <c r="C10" s="47"/>
      <c r="D10" s="47"/>
      <c r="E10" s="47"/>
      <c r="F10" s="47"/>
      <c r="G10" s="47"/>
      <c r="H10" s="47"/>
      <c r="I10" s="47"/>
      <c r="J10" s="14"/>
      <c r="K10" s="47"/>
      <c r="L10" s="14"/>
      <c r="M10" s="14"/>
      <c r="N10" s="14"/>
      <c r="O10" s="14"/>
      <c r="P10" s="14"/>
      <c r="Q10" s="14"/>
      <c r="R10" s="47" t="s">
        <v>11</v>
      </c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47" t="s">
        <v>11</v>
      </c>
    </row>
    <row r="11" ht="12.75" customHeight="1">
      <c r="A11" s="47"/>
      <c r="B11" s="47"/>
      <c r="C11" s="47" t="s">
        <v>12</v>
      </c>
      <c r="D11" s="47" t="s">
        <v>13</v>
      </c>
      <c r="E11" s="47" t="s">
        <v>14</v>
      </c>
      <c r="F11" s="47" t="s">
        <v>15</v>
      </c>
      <c r="G11" s="47" t="s">
        <v>16</v>
      </c>
      <c r="H11" s="47" t="s">
        <v>17</v>
      </c>
      <c r="I11" s="47" t="s">
        <v>18</v>
      </c>
      <c r="J11" s="14"/>
      <c r="K11" s="47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47" t="s">
        <v>12</v>
      </c>
      <c r="W11" s="47" t="s">
        <v>13</v>
      </c>
      <c r="X11" s="47" t="s">
        <v>14</v>
      </c>
      <c r="Y11" s="47" t="s">
        <v>15</v>
      </c>
      <c r="Z11" s="47" t="s">
        <v>16</v>
      </c>
      <c r="AA11" s="47" t="s">
        <v>17</v>
      </c>
      <c r="AB11" s="47" t="s">
        <v>18</v>
      </c>
      <c r="AC11" s="14"/>
      <c r="AD11" s="14"/>
      <c r="AE11" s="14"/>
      <c r="AF11" s="14"/>
      <c r="AG11" s="14"/>
      <c r="AH11" s="14"/>
      <c r="AI11" s="14"/>
      <c r="AJ11" s="14"/>
      <c r="AK11" s="14"/>
    </row>
    <row r="12" ht="12.75" customHeight="1">
      <c r="A12" s="49" t="s">
        <v>19</v>
      </c>
      <c r="B12" s="80">
        <v>1.0</v>
      </c>
      <c r="C12" s="50"/>
      <c r="D12" s="51"/>
      <c r="E12" s="52"/>
      <c r="F12" s="52"/>
      <c r="G12" s="52"/>
      <c r="H12" s="51"/>
      <c r="I12" s="49"/>
      <c r="J12" s="14" t="str">
        <f t="shared" ref="J12:N12" si="7">IF(C12="","", LOOKUP(C12, $D$160:$D$223, E$160:E$223))</f>
        <v/>
      </c>
      <c r="K12" s="14" t="str">
        <f t="shared" si="7"/>
        <v/>
      </c>
      <c r="L12" s="14" t="str">
        <f t="shared" si="7"/>
        <v/>
      </c>
      <c r="M12" s="14" t="str">
        <f t="shared" si="7"/>
        <v/>
      </c>
      <c r="N12" s="14" t="str">
        <f t="shared" si="7"/>
        <v/>
      </c>
      <c r="O12" s="14" t="str">
        <f t="shared" ref="O12:O13" si="10">IF(H12="","", LOOKUP(H12, I$178:I$223, J$178:J$223))</f>
        <v/>
      </c>
      <c r="P12" s="14" t="str">
        <f t="shared" ref="P12:P18" si="11">IF(SUM(J12:O12)=0, "", SUM(J12:O12))</f>
        <v/>
      </c>
      <c r="Q12" s="14"/>
      <c r="R12" s="14" t="str">
        <f>IF(P12="", "", IF(P13="", IF(P14="",P12-I12-1-P15, P12-I12-1-P14), P12-I12-1-P13))</f>
        <v/>
      </c>
      <c r="S12" s="14"/>
      <c r="T12" s="49" t="s">
        <v>19</v>
      </c>
      <c r="U12" s="80">
        <v>10.0</v>
      </c>
      <c r="V12" s="50">
        <v>291.0</v>
      </c>
      <c r="W12" s="51"/>
      <c r="X12" s="52"/>
      <c r="Y12" s="52"/>
      <c r="Z12" s="52"/>
      <c r="AA12" s="51"/>
      <c r="AB12" s="53"/>
      <c r="AC12" s="14">
        <f t="shared" ref="AC12:AG12" si="8">IF(V12="","", LOOKUP(V12, $D$160:$D$223, E$160:E$223))</f>
        <v>3.68</v>
      </c>
      <c r="AD12" s="14" t="str">
        <f t="shared" si="8"/>
        <v/>
      </c>
      <c r="AE12" s="14" t="str">
        <f t="shared" si="8"/>
        <v/>
      </c>
      <c r="AF12" s="14" t="str">
        <f t="shared" si="8"/>
        <v/>
      </c>
      <c r="AG12" s="14" t="str">
        <f t="shared" si="8"/>
        <v/>
      </c>
      <c r="AH12" s="14" t="str">
        <f t="shared" ref="AH12:AH17" si="13">if(AA12=1, 1, IF(AA12="", "", If(AA12&gt;$K$212, $L$212, if(AA12&gt;$K$211, $L$211, if(AA12&gt;$K$210, $L$210, if(AA12&gt;$K$209, $L$209, if(AA12&gt;$K$208, $L$208, if(AA12&gt;$K$206, $L$206, if(AA12&gt;$K$204, $L$204, if(AA12&gt;$K$202, $L$202, if(AA12&gt;$K$200, $L$200, if(AA12&gt;$K$198, $L$198, if(AA12&gt;$K$194, $L$194, if(AA12&gt;$K$190, $L$190, if(AA12&gt;$K$186, $L$186, if(AA12&gt;$K$182, $L$182, if(AA12&gt;$K$178, $L$178, $L$178)))))))))))))))))</f>
        <v/>
      </c>
      <c r="AI12" s="14">
        <f t="shared" ref="AI12:AI17" si="14">IF(SUM(AC12:AH12)=0, "", SUM(AC12:AH12))</f>
        <v>3.68</v>
      </c>
      <c r="AJ12" s="14"/>
      <c r="AK12" s="14">
        <f>IF(AI12="", "", IF(AI13="", IF(AI14="",AI12-AB12-1-AI15, AI12-AB12-1-AI14), AI12-AB12-1-AI13))</f>
        <v>-0.09</v>
      </c>
    </row>
    <row r="13" ht="12.75" customHeight="1">
      <c r="A13" s="54" t="s">
        <v>33</v>
      </c>
      <c r="B13" s="52"/>
      <c r="C13" s="51"/>
      <c r="D13" s="57"/>
      <c r="E13" s="54"/>
      <c r="F13" s="57"/>
      <c r="G13" s="57"/>
      <c r="H13" s="51"/>
      <c r="I13" s="57"/>
      <c r="J13" s="14" t="str">
        <f t="shared" ref="J13:N13" si="9">IF(C13="","", LOOKUP(C13, $D$160:$D$223, E$160:E$223))</f>
        <v/>
      </c>
      <c r="K13" s="14" t="str">
        <f t="shared" si="9"/>
        <v/>
      </c>
      <c r="L13" s="14" t="str">
        <f t="shared" si="9"/>
        <v/>
      </c>
      <c r="M13" s="14" t="str">
        <f t="shared" si="9"/>
        <v/>
      </c>
      <c r="N13" s="14" t="str">
        <f t="shared" si="9"/>
        <v/>
      </c>
      <c r="O13" s="14" t="str">
        <f t="shared" si="10"/>
        <v/>
      </c>
      <c r="P13" s="14" t="str">
        <f t="shared" si="11"/>
        <v/>
      </c>
      <c r="Q13" s="14" t="str">
        <f>Q15:R15</f>
        <v/>
      </c>
      <c r="R13" s="14" t="str">
        <f t="shared" ref="R13:R15" si="16">IF(P13="", "", IF(P14="", P13-I13-1-P15, P13-I13-1-P14))</f>
        <v/>
      </c>
      <c r="S13" s="14"/>
      <c r="T13" s="54" t="s">
        <v>33</v>
      </c>
      <c r="U13" s="52"/>
      <c r="V13" s="51"/>
      <c r="W13" s="57"/>
      <c r="X13" s="54"/>
      <c r="Y13" s="57"/>
      <c r="Z13" s="57"/>
      <c r="AA13" s="51"/>
      <c r="AB13" s="57"/>
      <c r="AC13" s="14" t="str">
        <f t="shared" ref="AC13:AG13" si="12">IF(V13="","", LOOKUP(V13, $D$160:$D$223, E$160:E$223))</f>
        <v/>
      </c>
      <c r="AD13" s="14" t="str">
        <f t="shared" si="12"/>
        <v/>
      </c>
      <c r="AE13" s="14" t="str">
        <f t="shared" si="12"/>
        <v/>
      </c>
      <c r="AF13" s="14" t="str">
        <f t="shared" si="12"/>
        <v/>
      </c>
      <c r="AG13" s="14" t="str">
        <f t="shared" si="12"/>
        <v/>
      </c>
      <c r="AH13" s="14" t="str">
        <f t="shared" si="13"/>
        <v/>
      </c>
      <c r="AI13" s="14" t="str">
        <f t="shared" si="14"/>
        <v/>
      </c>
      <c r="AJ13" s="14"/>
      <c r="AK13" s="14" t="str">
        <f t="shared" ref="AK13:AK15" si="18">IF(AI13="", "", IF(AI14="", AI13-AB13-1-AI15, AI13-AB13-1-AI14))</f>
        <v/>
      </c>
    </row>
    <row r="14" ht="12.75" customHeight="1">
      <c r="B14" s="52"/>
      <c r="C14" s="54"/>
      <c r="D14" s="54"/>
      <c r="E14" s="54"/>
      <c r="F14" s="57"/>
      <c r="G14" s="54"/>
      <c r="H14" s="51"/>
      <c r="I14" s="57"/>
      <c r="J14" s="14" t="str">
        <f t="shared" ref="J14:N14" si="15">IF(C14="","", LOOKUP(C14, $D$160:$D$223, E$160:E$223))</f>
        <v/>
      </c>
      <c r="K14" s="14" t="str">
        <f t="shared" si="15"/>
        <v/>
      </c>
      <c r="L14" s="14" t="str">
        <f t="shared" si="15"/>
        <v/>
      </c>
      <c r="M14" s="14" t="str">
        <f t="shared" si="15"/>
        <v/>
      </c>
      <c r="N14" s="14" t="str">
        <f t="shared" si="15"/>
        <v/>
      </c>
      <c r="O14" s="14"/>
      <c r="P14" s="14" t="str">
        <f t="shared" si="11"/>
        <v/>
      </c>
      <c r="Q14" s="14"/>
      <c r="R14" s="14" t="str">
        <f t="shared" si="16"/>
        <v/>
      </c>
      <c r="S14" s="14"/>
      <c r="U14" s="52"/>
      <c r="V14" s="57"/>
      <c r="W14" s="54">
        <v>85.0</v>
      </c>
      <c r="X14" s="54"/>
      <c r="Y14" s="57"/>
      <c r="Z14" s="57"/>
      <c r="AA14" s="51"/>
      <c r="AB14" s="57"/>
      <c r="AC14" s="14" t="str">
        <f t="shared" ref="AC14:AG14" si="17">IF(V14="","", LOOKUP(V14, $D$160:$D$223, E$160:E$223))</f>
        <v/>
      </c>
      <c r="AD14" s="67">
        <f t="shared" si="17"/>
        <v>2.77</v>
      </c>
      <c r="AE14" s="14" t="str">
        <f t="shared" si="17"/>
        <v/>
      </c>
      <c r="AF14" s="14" t="str">
        <f t="shared" si="17"/>
        <v/>
      </c>
      <c r="AG14" s="14" t="str">
        <f t="shared" si="17"/>
        <v/>
      </c>
      <c r="AH14" s="14" t="str">
        <f t="shared" si="13"/>
        <v/>
      </c>
      <c r="AI14" s="14">
        <f t="shared" si="14"/>
        <v>2.77</v>
      </c>
      <c r="AJ14" s="14"/>
      <c r="AK14" s="14">
        <f t="shared" si="18"/>
        <v>-0.01</v>
      </c>
    </row>
    <row r="15" ht="12.75" customHeight="1">
      <c r="A15" s="55" t="s">
        <v>35</v>
      </c>
      <c r="B15" s="52"/>
      <c r="C15" s="51"/>
      <c r="D15" s="55"/>
      <c r="E15" s="55"/>
      <c r="F15" s="55"/>
      <c r="G15" s="58"/>
      <c r="H15" s="52"/>
      <c r="I15" s="58"/>
      <c r="J15" s="14" t="str">
        <f t="shared" ref="J15:N15" si="19">IF(C15="","", LOOKUP(C15, $D$160:$D$223, E$160:E$223))</f>
        <v/>
      </c>
      <c r="K15" s="14" t="str">
        <f t="shared" si="19"/>
        <v/>
      </c>
      <c r="L15" s="14" t="str">
        <f t="shared" si="19"/>
        <v/>
      </c>
      <c r="M15" s="14" t="str">
        <f t="shared" si="19"/>
        <v/>
      </c>
      <c r="N15" s="14" t="str">
        <f t="shared" si="19"/>
        <v/>
      </c>
      <c r="O15" s="14" t="str">
        <f>if(H15="", "", If(H15&gt;$K$212, $L$212, if(H15&gt;$K$211, $L$211, if(H15&gt;$K$210, $L$210, if(H15&gt;$K$209, $L$209, if(H15&gt;$K$208, $L$208, if(H15&gt;$K$206, $L$206, if(H15&gt;$K$204, $L$204, if(H15&gt;$K$202, $L$202, if(H15&gt;$K$200, $L$200, if(H15&gt;$K$198, $L$198, if(H15&gt;$K$194, $L$194, if(H15&gt;$K$190, $L$190, if(H15&gt;$K$186, $L$186, if(H15&gt;$K$182, $L$182, if(H15&gt;$K$178, $L$178, $L$178))))))))))))))))</f>
        <v/>
      </c>
      <c r="P15" s="14" t="str">
        <f t="shared" si="11"/>
        <v/>
      </c>
      <c r="Q15" s="14"/>
      <c r="R15" s="14" t="str">
        <f t="shared" si="16"/>
        <v/>
      </c>
      <c r="S15" s="14"/>
      <c r="T15" s="55" t="s">
        <v>35</v>
      </c>
      <c r="U15" s="52"/>
      <c r="V15" s="51"/>
      <c r="W15" s="55"/>
      <c r="X15" s="55"/>
      <c r="Y15" s="55"/>
      <c r="Z15" s="58"/>
      <c r="AA15" s="52"/>
      <c r="AB15" s="58"/>
      <c r="AC15" s="14" t="str">
        <f t="shared" ref="AC15:AG15" si="20">IF(V15="","", LOOKUP(V15, $D$160:$D$223, E$160:E$223))</f>
        <v/>
      </c>
      <c r="AD15" s="14" t="str">
        <f t="shared" si="20"/>
        <v/>
      </c>
      <c r="AE15" s="14" t="str">
        <f t="shared" si="20"/>
        <v/>
      </c>
      <c r="AF15" s="14" t="str">
        <f t="shared" si="20"/>
        <v/>
      </c>
      <c r="AG15" s="14" t="str">
        <f t="shared" si="20"/>
        <v/>
      </c>
      <c r="AH15" s="14" t="str">
        <f t="shared" si="13"/>
        <v/>
      </c>
      <c r="AI15" s="14" t="str">
        <f t="shared" si="14"/>
        <v/>
      </c>
      <c r="AJ15" s="14"/>
      <c r="AK15" s="14" t="str">
        <f t="shared" si="18"/>
        <v/>
      </c>
    </row>
    <row r="16" ht="12.75" customHeight="1">
      <c r="A16" s="56" t="s">
        <v>22</v>
      </c>
      <c r="B16" s="52"/>
      <c r="C16" s="51"/>
      <c r="D16" s="51"/>
      <c r="E16" s="51"/>
      <c r="F16" s="51"/>
      <c r="G16" s="51"/>
      <c r="H16" s="56"/>
      <c r="I16" s="56"/>
      <c r="J16" s="14" t="str">
        <f t="shared" ref="J16:N16" si="21">IF(C16="","", LOOKUP(C16, $D$160:$D$223, E$160:E$223))</f>
        <v/>
      </c>
      <c r="K16" s="14" t="str">
        <f t="shared" si="21"/>
        <v/>
      </c>
      <c r="L16" s="14" t="str">
        <f t="shared" si="21"/>
        <v/>
      </c>
      <c r="M16" s="14" t="str">
        <f t="shared" si="21"/>
        <v/>
      </c>
      <c r="N16" s="14" t="str">
        <f t="shared" si="21"/>
        <v/>
      </c>
      <c r="O16" s="14" t="str">
        <f t="shared" ref="O16:O18" si="24">if(H16=1, 1, IF(H16="", "", If(H16&gt;$K$212, $L$212, if(H16&gt;$K$211, $L$211, if(H16&gt;$K$210, $L$210, if(H16&gt;$K$209, $L$209, if(H16&gt;$K$208, $L$208, if(H16&gt;$K$206, $L$206, if(H16&gt;$K$204, $L$204, if(H16&gt;$K$202, $L$202, if(H16&gt;$K$200, $L$200, if(H16&gt;$K$198, $L$198, if(H16&gt;$K$194, $L$194, if(H16&gt;$K$190, $L$190, if(H16&gt;$K$186, $L$186, if(H16&gt;$K$182, $L$182, if(H16&gt;$K$178, $L$178, $L$178)))))))))))))))))</f>
        <v/>
      </c>
      <c r="P16" s="14" t="str">
        <f t="shared" si="11"/>
        <v/>
      </c>
      <c r="Q16" s="14"/>
      <c r="R16" s="14" t="str">
        <f t="shared" ref="R16:R17" si="25">IF(P16="", "", P16-I16-1-P17)</f>
        <v/>
      </c>
      <c r="S16" s="14"/>
      <c r="T16" s="56" t="s">
        <v>22</v>
      </c>
      <c r="U16" s="52"/>
      <c r="V16" s="51"/>
      <c r="W16" s="51"/>
      <c r="X16" s="51"/>
      <c r="Y16" s="51"/>
      <c r="Z16" s="51"/>
      <c r="AA16" s="56">
        <v>18.0</v>
      </c>
      <c r="AB16" s="59"/>
      <c r="AC16" s="14" t="str">
        <f t="shared" ref="AC16:AG16" si="22">IF(V16="","", LOOKUP(V16, $D$160:$D$223, E$160:E$223))</f>
        <v/>
      </c>
      <c r="AD16" s="14" t="str">
        <f t="shared" si="22"/>
        <v/>
      </c>
      <c r="AE16" s="14" t="str">
        <f t="shared" si="22"/>
        <v/>
      </c>
      <c r="AF16" s="14" t="str">
        <f t="shared" si="22"/>
        <v/>
      </c>
      <c r="AG16" s="14" t="str">
        <f t="shared" si="22"/>
        <v/>
      </c>
      <c r="AH16" s="14">
        <f t="shared" si="13"/>
        <v>1.78</v>
      </c>
      <c r="AI16" s="14">
        <f t="shared" si="14"/>
        <v>1.78</v>
      </c>
      <c r="AJ16" s="14"/>
      <c r="AK16" s="14">
        <f t="shared" ref="AK16:AK17" si="27">IF(AI16="", "", AI16-AB16-1-AI17)</f>
        <v>-0.22</v>
      </c>
    </row>
    <row r="17" ht="12.75" customHeight="1">
      <c r="A17" s="14"/>
      <c r="B17" s="52"/>
      <c r="C17" s="51"/>
      <c r="D17" s="51"/>
      <c r="E17" s="51"/>
      <c r="F17" s="51"/>
      <c r="G17" s="51"/>
      <c r="H17" s="56"/>
      <c r="I17" s="61"/>
      <c r="J17" s="14" t="str">
        <f t="shared" ref="J17:N17" si="23">IF(C17="","", LOOKUP(C17, $D$160:$D$223, E$160:E$223))</f>
        <v/>
      </c>
      <c r="K17" s="14" t="str">
        <f t="shared" si="23"/>
        <v/>
      </c>
      <c r="L17" s="14" t="str">
        <f t="shared" si="23"/>
        <v/>
      </c>
      <c r="M17" s="14" t="str">
        <f t="shared" si="23"/>
        <v/>
      </c>
      <c r="N17" s="14" t="str">
        <f t="shared" si="23"/>
        <v/>
      </c>
      <c r="O17" s="14" t="str">
        <f t="shared" si="24"/>
        <v/>
      </c>
      <c r="P17" s="14" t="str">
        <f t="shared" si="11"/>
        <v/>
      </c>
      <c r="Q17" s="14"/>
      <c r="R17" s="14" t="str">
        <f t="shared" si="25"/>
        <v/>
      </c>
      <c r="S17" s="14"/>
      <c r="T17" s="47"/>
      <c r="U17" s="52"/>
      <c r="V17" s="51"/>
      <c r="W17" s="51"/>
      <c r="X17" s="51"/>
      <c r="Y17" s="51"/>
      <c r="Z17" s="51"/>
      <c r="AA17" s="56">
        <v>1.0</v>
      </c>
      <c r="AB17" s="60"/>
      <c r="AC17" s="14" t="str">
        <f t="shared" ref="AC17:AG17" si="26">IF(V17="","", LOOKUP(V17, $D$160:$D$223, E$160:E$223))</f>
        <v/>
      </c>
      <c r="AD17" s="14" t="str">
        <f t="shared" si="26"/>
        <v/>
      </c>
      <c r="AE17" s="14" t="str">
        <f t="shared" si="26"/>
        <v/>
      </c>
      <c r="AF17" s="14" t="str">
        <f t="shared" si="26"/>
        <v/>
      </c>
      <c r="AG17" s="14" t="str">
        <f t="shared" si="26"/>
        <v/>
      </c>
      <c r="AH17" s="14">
        <f t="shared" si="13"/>
        <v>1</v>
      </c>
      <c r="AI17" s="14">
        <f t="shared" si="14"/>
        <v>1</v>
      </c>
      <c r="AJ17" s="14"/>
      <c r="AK17" s="14">
        <f t="shared" si="27"/>
        <v>0</v>
      </c>
    </row>
    <row r="18" ht="12.75" customHeight="1">
      <c r="A18" s="14"/>
      <c r="B18" s="34"/>
      <c r="J18" s="14" t="str">
        <f t="shared" ref="J18:N18" si="28">IF(C18="","", LOOKUP(C18, $D$160:$D$223, E$160:E$223))</f>
        <v/>
      </c>
      <c r="K18" s="14" t="str">
        <f t="shared" si="28"/>
        <v/>
      </c>
      <c r="L18" s="14" t="str">
        <f t="shared" si="28"/>
        <v/>
      </c>
      <c r="M18" s="14" t="str">
        <f t="shared" si="28"/>
        <v/>
      </c>
      <c r="N18" s="14" t="str">
        <f t="shared" si="28"/>
        <v/>
      </c>
      <c r="O18" s="14" t="str">
        <f t="shared" si="24"/>
        <v/>
      </c>
      <c r="P18" s="14" t="str">
        <f t="shared" si="11"/>
        <v/>
      </c>
      <c r="Q18" s="14"/>
      <c r="R18" s="14" t="str">
        <f>IF(P18="", "", P18-I18-1-P20)</f>
        <v/>
      </c>
      <c r="S18" s="14"/>
      <c r="T18" s="47"/>
      <c r="U18" s="47"/>
      <c r="V18" s="47" t="s">
        <v>12</v>
      </c>
      <c r="W18" s="47" t="s">
        <v>13</v>
      </c>
      <c r="X18" s="47" t="s">
        <v>14</v>
      </c>
      <c r="Y18" s="47" t="s">
        <v>15</v>
      </c>
      <c r="Z18" s="47" t="s">
        <v>16</v>
      </c>
      <c r="AA18" s="47" t="s">
        <v>17</v>
      </c>
      <c r="AB18" s="47" t="s">
        <v>18</v>
      </c>
      <c r="AC18" s="14"/>
      <c r="AD18" s="14"/>
      <c r="AE18" s="14"/>
      <c r="AF18" s="14"/>
      <c r="AG18" s="14"/>
      <c r="AH18" s="14"/>
      <c r="AI18" s="14"/>
      <c r="AJ18" s="14"/>
      <c r="AK18" s="14"/>
    </row>
    <row r="19" ht="12.75" customHeight="1">
      <c r="A19" s="47"/>
      <c r="B19" s="47"/>
      <c r="C19" s="47" t="s">
        <v>12</v>
      </c>
      <c r="D19" s="47" t="s">
        <v>13</v>
      </c>
      <c r="E19" s="47" t="s">
        <v>14</v>
      </c>
      <c r="F19" s="47" t="s">
        <v>15</v>
      </c>
      <c r="G19" s="47" t="s">
        <v>16</v>
      </c>
      <c r="H19" s="47" t="s">
        <v>17</v>
      </c>
      <c r="I19" s="47" t="s">
        <v>18</v>
      </c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49" t="s">
        <v>19</v>
      </c>
      <c r="U19" s="80">
        <v>11.0</v>
      </c>
      <c r="V19" s="50"/>
      <c r="W19" s="51"/>
      <c r="X19" s="52"/>
      <c r="Y19" s="52"/>
      <c r="Z19" s="52"/>
      <c r="AA19" s="51"/>
      <c r="AB19" s="53"/>
      <c r="AC19" s="14" t="str">
        <f t="shared" ref="AC19:AG19" si="29">IF(V19="","", LOOKUP(V19, $D$160:$D$223, E$160:E$223))</f>
        <v/>
      </c>
      <c r="AD19" s="14" t="str">
        <f t="shared" si="29"/>
        <v/>
      </c>
      <c r="AE19" s="14" t="str">
        <f t="shared" si="29"/>
        <v/>
      </c>
      <c r="AF19" s="14" t="str">
        <f t="shared" si="29"/>
        <v/>
      </c>
      <c r="AG19" s="14" t="str">
        <f t="shared" si="29"/>
        <v/>
      </c>
      <c r="AH19" s="14" t="str">
        <f t="shared" ref="AH19:AH24" si="32">if(AA19=1, 1, IF(AA19="", "", If(AA19&gt;$K$212, $L$212, if(AA19&gt;$K$211, $L$211, if(AA19&gt;$K$210, $L$210, if(AA19&gt;$K$209, $L$209, if(AA19&gt;$K$208, $L$208, if(AA19&gt;$K$206, $L$206, if(AA19&gt;$K$204, $L$204, if(AA19&gt;$K$202, $L$202, if(AA19&gt;$K$200, $L$200, if(AA19&gt;$K$198, $L$198, if(AA19&gt;$K$194, $L$194, if(AA19&gt;$K$190, $L$190, if(AA19&gt;$K$186, $L$186, if(AA19&gt;$K$182, $L$182, if(AA19&gt;$K$178, $L$178, $L$178)))))))))))))))))</f>
        <v/>
      </c>
      <c r="AI19" s="14" t="str">
        <f t="shared" ref="AI19:AI24" si="33">IF(SUM(AC19:AH19)=0, "", SUM(AC19:AH19))</f>
        <v/>
      </c>
      <c r="AJ19" s="14"/>
      <c r="AK19" s="14" t="str">
        <f>IF(AI19="", "", IF(AI20="", IF(AI21="",AI19-AB19-1-AI22, AI19-AB19-1-AI21), AI19-AB19-1-AI20))</f>
        <v/>
      </c>
    </row>
    <row r="20" ht="12.75" customHeight="1">
      <c r="A20" s="49" t="s">
        <v>19</v>
      </c>
      <c r="B20" s="80">
        <v>2.0</v>
      </c>
      <c r="C20" s="50"/>
      <c r="D20" s="51"/>
      <c r="E20" s="52"/>
      <c r="F20" s="52"/>
      <c r="G20" s="52"/>
      <c r="H20" s="51"/>
      <c r="I20" s="53"/>
      <c r="J20" s="14" t="str">
        <f t="shared" ref="J20:N20" si="30">IF(C20="","", LOOKUP(C20, $D$160:$D$223, E$160:E$223))</f>
        <v/>
      </c>
      <c r="K20" s="14" t="str">
        <f t="shared" si="30"/>
        <v/>
      </c>
      <c r="L20" s="14" t="str">
        <f t="shared" si="30"/>
        <v/>
      </c>
      <c r="M20" s="14" t="str">
        <f t="shared" si="30"/>
        <v/>
      </c>
      <c r="N20" s="14" t="str">
        <f t="shared" si="30"/>
        <v/>
      </c>
      <c r="O20" s="14" t="str">
        <f t="shared" ref="O20:O25" si="35">if(H20=1, 1, IF(H20="", "", If(H20&gt;$K$212, $L$212, if(H20&gt;$K$211, $L$211, if(H20&gt;$K$210, $L$210, if(H20&gt;$K$209, $L$209, if(H20&gt;$K$208, $L$208, if(H20&gt;$K$206, $L$206, if(H20&gt;$K$204, $L$204, if(H20&gt;$K$202, $L$202, if(H20&gt;$K$200, $L$200, if(H20&gt;$K$198, $L$198, if(H20&gt;$K$194, $L$194, if(H20&gt;$K$190, $L$190, if(H20&gt;$K$186, $L$186, if(H20&gt;$K$182, $L$182, if(H20&gt;$K$178, $L$178, $L$178)))))))))))))))))</f>
        <v/>
      </c>
      <c r="P20" s="14" t="str">
        <f t="shared" ref="P20:P25" si="36">IF(SUM(J20:O20)=0, "", SUM(J20:O20))</f>
        <v/>
      </c>
      <c r="Q20" s="14"/>
      <c r="R20" s="14" t="str">
        <f>IF(P20="", "", IF(P21="", IF(P22="",P20-I20-1-P23, P20-I20-1-P22), P20-I20-1-P21))</f>
        <v/>
      </c>
      <c r="S20" s="14"/>
      <c r="T20" s="54" t="s">
        <v>33</v>
      </c>
      <c r="U20" s="52"/>
      <c r="V20" s="51"/>
      <c r="W20" s="57"/>
      <c r="X20" s="54"/>
      <c r="Y20" s="57"/>
      <c r="Z20" s="57"/>
      <c r="AA20" s="51"/>
      <c r="AB20" s="57"/>
      <c r="AC20" s="14" t="str">
        <f t="shared" ref="AC20:AG20" si="31">IF(V20="","", LOOKUP(V20, $D$160:$D$223, E$160:E$223))</f>
        <v/>
      </c>
      <c r="AD20" s="14" t="str">
        <f t="shared" si="31"/>
        <v/>
      </c>
      <c r="AE20" s="14" t="str">
        <f t="shared" si="31"/>
        <v/>
      </c>
      <c r="AF20" s="14" t="str">
        <f t="shared" si="31"/>
        <v/>
      </c>
      <c r="AG20" s="14" t="str">
        <f t="shared" si="31"/>
        <v/>
      </c>
      <c r="AH20" s="14" t="str">
        <f t="shared" si="32"/>
        <v/>
      </c>
      <c r="AI20" s="14" t="str">
        <f t="shared" si="33"/>
        <v/>
      </c>
      <c r="AJ20" s="14"/>
      <c r="AK20" s="14" t="str">
        <f t="shared" ref="AK20:AK22" si="38">IF(AI20="", "", IF(AI21="", AI20-AB20-1-AI22, AI20-AB20-1-AI21))</f>
        <v/>
      </c>
    </row>
    <row r="21" ht="12.75" customHeight="1">
      <c r="A21" s="54" t="s">
        <v>33</v>
      </c>
      <c r="B21" s="52"/>
      <c r="C21" s="51"/>
      <c r="D21" s="57"/>
      <c r="E21" s="54"/>
      <c r="F21" s="57"/>
      <c r="G21" s="57"/>
      <c r="H21" s="51"/>
      <c r="I21" s="57"/>
      <c r="J21" s="14" t="str">
        <f t="shared" ref="J21:N21" si="34">IF(C21="","", LOOKUP(C21, $D$160:$D$223, E$160:E$223))</f>
        <v/>
      </c>
      <c r="K21" s="14" t="str">
        <f t="shared" si="34"/>
        <v/>
      </c>
      <c r="L21" s="14" t="str">
        <f t="shared" si="34"/>
        <v/>
      </c>
      <c r="M21" s="14" t="str">
        <f t="shared" si="34"/>
        <v/>
      </c>
      <c r="N21" s="14" t="str">
        <f t="shared" si="34"/>
        <v/>
      </c>
      <c r="O21" s="14" t="str">
        <f t="shared" si="35"/>
        <v/>
      </c>
      <c r="P21" s="14" t="str">
        <f t="shared" si="36"/>
        <v/>
      </c>
      <c r="Q21" s="14"/>
      <c r="R21" s="14" t="str">
        <f t="shared" ref="R21:R23" si="40">IF(P21="", "", IF(P22="", P21-I21-1-P23, P21-I21-1-P22))</f>
        <v/>
      </c>
      <c r="S21" s="14"/>
      <c r="U21" s="52"/>
      <c r="V21" s="54">
        <v>143.0</v>
      </c>
      <c r="W21" s="54"/>
      <c r="X21" s="54"/>
      <c r="Y21" s="57"/>
      <c r="Z21" s="57"/>
      <c r="AA21" s="51"/>
      <c r="AB21" s="57"/>
      <c r="AC21" s="14">
        <f t="shared" ref="AC21:AG21" si="37">IF(V21="","", LOOKUP(V21, $D$160:$D$223, E$160:E$223))</f>
        <v>2.97</v>
      </c>
      <c r="AD21" s="14" t="str">
        <f t="shared" si="37"/>
        <v/>
      </c>
      <c r="AE21" s="14" t="str">
        <f t="shared" si="37"/>
        <v/>
      </c>
      <c r="AF21" s="14" t="str">
        <f t="shared" si="37"/>
        <v/>
      </c>
      <c r="AG21" s="14" t="str">
        <f t="shared" si="37"/>
        <v/>
      </c>
      <c r="AH21" s="14" t="str">
        <f t="shared" si="32"/>
        <v/>
      </c>
      <c r="AI21" s="14">
        <f t="shared" si="33"/>
        <v>2.97</v>
      </c>
      <c r="AJ21" s="14"/>
      <c r="AK21" s="14">
        <f t="shared" si="38"/>
        <v>-0.09</v>
      </c>
    </row>
    <row r="22" ht="12.75" customHeight="1">
      <c r="B22" s="52"/>
      <c r="C22" s="57"/>
      <c r="D22" s="57"/>
      <c r="E22" s="54"/>
      <c r="F22" s="57"/>
      <c r="G22" s="57"/>
      <c r="H22" s="51"/>
      <c r="I22" s="57"/>
      <c r="J22" s="14" t="str">
        <f t="shared" ref="J22:N22" si="39">IF(C22="","", LOOKUP(C22, $D$160:$D$223, E$160:E$223))</f>
        <v/>
      </c>
      <c r="K22" s="14" t="str">
        <f t="shared" si="39"/>
        <v/>
      </c>
      <c r="L22" s="14" t="str">
        <f t="shared" si="39"/>
        <v/>
      </c>
      <c r="M22" s="14" t="str">
        <f t="shared" si="39"/>
        <v/>
      </c>
      <c r="N22" s="14" t="str">
        <f t="shared" si="39"/>
        <v/>
      </c>
      <c r="O22" s="14" t="str">
        <f t="shared" si="35"/>
        <v/>
      </c>
      <c r="P22" s="14" t="str">
        <f t="shared" si="36"/>
        <v/>
      </c>
      <c r="Q22" s="14"/>
      <c r="R22" s="14" t="str">
        <f t="shared" si="40"/>
        <v/>
      </c>
      <c r="S22" s="14"/>
      <c r="T22" s="55" t="s">
        <v>35</v>
      </c>
      <c r="U22" s="52"/>
      <c r="V22" s="51"/>
      <c r="W22" s="55"/>
      <c r="X22" s="55"/>
      <c r="Y22" s="55"/>
      <c r="Z22" s="58"/>
      <c r="AA22" s="52"/>
      <c r="AB22" s="58"/>
      <c r="AC22" s="14" t="str">
        <f t="shared" ref="AC22:AG22" si="41">IF(V22="","", LOOKUP(V22, $D$160:$D$223, E$160:E$223))</f>
        <v/>
      </c>
      <c r="AD22" s="14" t="str">
        <f t="shared" si="41"/>
        <v/>
      </c>
      <c r="AE22" s="14" t="str">
        <f t="shared" si="41"/>
        <v/>
      </c>
      <c r="AF22" s="14" t="str">
        <f t="shared" si="41"/>
        <v/>
      </c>
      <c r="AG22" s="14" t="str">
        <f t="shared" si="41"/>
        <v/>
      </c>
      <c r="AH22" s="14" t="str">
        <f t="shared" si="32"/>
        <v/>
      </c>
      <c r="AI22" s="14" t="str">
        <f t="shared" si="33"/>
        <v/>
      </c>
      <c r="AJ22" s="14"/>
      <c r="AK22" s="14" t="str">
        <f t="shared" si="38"/>
        <v/>
      </c>
    </row>
    <row r="23" ht="12.75" customHeight="1">
      <c r="A23" s="55" t="s">
        <v>35</v>
      </c>
      <c r="B23" s="52"/>
      <c r="C23" s="51"/>
      <c r="D23" s="55"/>
      <c r="E23" s="55"/>
      <c r="F23" s="55"/>
      <c r="G23" s="58"/>
      <c r="H23" s="52"/>
      <c r="I23" s="58"/>
      <c r="J23" s="14" t="str">
        <f t="shared" ref="J23:N23" si="42">IF(C23="","", LOOKUP(C23, $D$160:$D$223, E$160:E$223))</f>
        <v/>
      </c>
      <c r="K23" s="14" t="str">
        <f t="shared" si="42"/>
        <v/>
      </c>
      <c r="L23" s="14" t="str">
        <f t="shared" si="42"/>
        <v/>
      </c>
      <c r="M23" s="14" t="str">
        <f t="shared" si="42"/>
        <v/>
      </c>
      <c r="N23" s="14" t="str">
        <f t="shared" si="42"/>
        <v/>
      </c>
      <c r="O23" s="14" t="str">
        <f t="shared" si="35"/>
        <v/>
      </c>
      <c r="P23" s="14" t="str">
        <f t="shared" si="36"/>
        <v/>
      </c>
      <c r="Q23" s="14"/>
      <c r="R23" s="14" t="str">
        <f t="shared" si="40"/>
        <v/>
      </c>
      <c r="S23" s="14"/>
      <c r="T23" s="56" t="s">
        <v>22</v>
      </c>
      <c r="U23" s="52"/>
      <c r="V23" s="51"/>
      <c r="W23" s="51"/>
      <c r="X23" s="51"/>
      <c r="Y23" s="51"/>
      <c r="Z23" s="51"/>
      <c r="AA23" s="56">
        <v>42.0</v>
      </c>
      <c r="AB23" s="59"/>
      <c r="AC23" s="14" t="str">
        <f t="shared" ref="AC23:AG23" si="43">IF(V23="","", LOOKUP(V23, $D$160:$D$223, E$160:E$223))</f>
        <v/>
      </c>
      <c r="AD23" s="14" t="str">
        <f t="shared" si="43"/>
        <v/>
      </c>
      <c r="AE23" s="14" t="str">
        <f t="shared" si="43"/>
        <v/>
      </c>
      <c r="AF23" s="14" t="str">
        <f t="shared" si="43"/>
        <v/>
      </c>
      <c r="AG23" s="14" t="str">
        <f t="shared" si="43"/>
        <v/>
      </c>
      <c r="AH23" s="14">
        <f t="shared" si="32"/>
        <v>2.06</v>
      </c>
      <c r="AI23" s="14">
        <f t="shared" si="33"/>
        <v>2.06</v>
      </c>
      <c r="AJ23" s="14"/>
      <c r="AK23" s="14">
        <f t="shared" ref="AK23:AK24" si="46">IF(AI23="", "", AI23-AB23-1-AI24)</f>
        <v>-0.17</v>
      </c>
    </row>
    <row r="24" ht="12.75" customHeight="1">
      <c r="A24" s="56" t="s">
        <v>22</v>
      </c>
      <c r="B24" s="52"/>
      <c r="C24" s="51"/>
      <c r="D24" s="51"/>
      <c r="E24" s="51"/>
      <c r="F24" s="51"/>
      <c r="G24" s="51"/>
      <c r="H24" s="56"/>
      <c r="I24" s="59"/>
      <c r="J24" s="14" t="str">
        <f t="shared" ref="J24:N24" si="44">IF(C24="","", LOOKUP(C24, $D$160:$D$223, E$160:E$223))</f>
        <v/>
      </c>
      <c r="K24" s="14" t="str">
        <f t="shared" si="44"/>
        <v/>
      </c>
      <c r="L24" s="14" t="str">
        <f t="shared" si="44"/>
        <v/>
      </c>
      <c r="M24" s="14" t="str">
        <f t="shared" si="44"/>
        <v/>
      </c>
      <c r="N24" s="14" t="str">
        <f t="shared" si="44"/>
        <v/>
      </c>
      <c r="O24" s="14" t="str">
        <f t="shared" si="35"/>
        <v/>
      </c>
      <c r="P24" s="14" t="str">
        <f t="shared" si="36"/>
        <v/>
      </c>
      <c r="Q24" s="14"/>
      <c r="R24" s="14" t="str">
        <f t="shared" ref="R24:R25" si="48">IF(P24="", "", P24-I24-1-P25)</f>
        <v/>
      </c>
      <c r="S24" s="14"/>
      <c r="T24" s="47"/>
      <c r="U24" s="52"/>
      <c r="V24" s="51"/>
      <c r="W24" s="51"/>
      <c r="X24" s="51"/>
      <c r="Y24" s="51"/>
      <c r="Z24" s="51"/>
      <c r="AA24" s="56">
        <v>6.0</v>
      </c>
      <c r="AB24" s="60"/>
      <c r="AC24" s="14" t="str">
        <f t="shared" ref="AC24:AG24" si="45">IF(V24="","", LOOKUP(V24, $D$160:$D$223, E$160:E$223))</f>
        <v/>
      </c>
      <c r="AD24" s="14" t="str">
        <f t="shared" si="45"/>
        <v/>
      </c>
      <c r="AE24" s="14" t="str">
        <f t="shared" si="45"/>
        <v/>
      </c>
      <c r="AF24" s="14" t="str">
        <f t="shared" si="45"/>
        <v/>
      </c>
      <c r="AG24" s="14" t="str">
        <f t="shared" si="45"/>
        <v/>
      </c>
      <c r="AH24" s="14">
        <f t="shared" si="32"/>
        <v>1.23</v>
      </c>
      <c r="AI24" s="14">
        <f t="shared" si="33"/>
        <v>1.23</v>
      </c>
      <c r="AJ24" s="14"/>
      <c r="AK24" s="14">
        <f t="shared" si="46"/>
        <v>0.23</v>
      </c>
    </row>
    <row r="25" ht="12.75" customHeight="1">
      <c r="A25" s="14"/>
      <c r="B25" s="52"/>
      <c r="C25" s="51"/>
      <c r="D25" s="51"/>
      <c r="E25" s="51"/>
      <c r="F25" s="51"/>
      <c r="G25" s="51"/>
      <c r="H25" s="56"/>
      <c r="I25" s="60"/>
      <c r="J25" s="14" t="str">
        <f t="shared" ref="J25:N25" si="47">IF(C25="","", LOOKUP(C25, $D$160:$D$223, E$160:E$223))</f>
        <v/>
      </c>
      <c r="K25" s="14" t="str">
        <f t="shared" si="47"/>
        <v/>
      </c>
      <c r="L25" s="14" t="str">
        <f t="shared" si="47"/>
        <v/>
      </c>
      <c r="M25" s="14" t="str">
        <f t="shared" si="47"/>
        <v/>
      </c>
      <c r="N25" s="14" t="str">
        <f t="shared" si="47"/>
        <v/>
      </c>
      <c r="O25" s="14" t="str">
        <f t="shared" si="35"/>
        <v/>
      </c>
      <c r="P25" s="14" t="str">
        <f t="shared" si="36"/>
        <v/>
      </c>
      <c r="Q25" s="14"/>
      <c r="R25" s="14" t="str">
        <f t="shared" si="48"/>
        <v/>
      </c>
      <c r="S25" s="14"/>
      <c r="T25" s="47"/>
      <c r="U25" s="47"/>
      <c r="V25" s="47" t="s">
        <v>12</v>
      </c>
      <c r="W25" s="47" t="s">
        <v>13</v>
      </c>
      <c r="X25" s="47" t="s">
        <v>14</v>
      </c>
      <c r="Y25" s="47" t="s">
        <v>15</v>
      </c>
      <c r="Z25" s="47" t="s">
        <v>16</v>
      </c>
      <c r="AA25" s="47" t="s">
        <v>17</v>
      </c>
      <c r="AB25" s="47" t="s">
        <v>18</v>
      </c>
      <c r="AC25" s="14"/>
      <c r="AD25" s="14"/>
      <c r="AE25" s="14"/>
      <c r="AF25" s="14"/>
      <c r="AG25" s="14"/>
      <c r="AH25" s="14"/>
      <c r="AI25" s="14"/>
      <c r="AJ25" s="14"/>
      <c r="AK25" s="14"/>
    </row>
    <row r="26" ht="12.75" customHeight="1">
      <c r="A26" s="14"/>
      <c r="B26" s="47"/>
      <c r="C26" s="47" t="s">
        <v>12</v>
      </c>
      <c r="D26" s="47" t="s">
        <v>13</v>
      </c>
      <c r="E26" s="47" t="s">
        <v>14</v>
      </c>
      <c r="F26" s="47" t="s">
        <v>15</v>
      </c>
      <c r="G26" s="47" t="s">
        <v>16</v>
      </c>
      <c r="H26" s="47" t="s">
        <v>17</v>
      </c>
      <c r="I26" s="47" t="s">
        <v>18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49" t="s">
        <v>19</v>
      </c>
      <c r="U26" s="80">
        <v>12.0</v>
      </c>
      <c r="V26" s="50">
        <v>330.0</v>
      </c>
      <c r="W26" s="51"/>
      <c r="X26" s="52"/>
      <c r="Y26" s="52"/>
      <c r="Z26" s="52"/>
      <c r="AA26" s="51"/>
      <c r="AB26" s="49">
        <v>2.0</v>
      </c>
      <c r="AC26" s="14">
        <f t="shared" ref="AC26:AG26" si="49">IF(V26="","", LOOKUP(V26, $D$160:$D$223, E$160:E$223))</f>
        <v>3.79</v>
      </c>
      <c r="AD26" s="14" t="str">
        <f t="shared" si="49"/>
        <v/>
      </c>
      <c r="AE26" s="14" t="str">
        <f t="shared" si="49"/>
        <v/>
      </c>
      <c r="AF26" s="14" t="str">
        <f t="shared" si="49"/>
        <v/>
      </c>
      <c r="AG26" s="14" t="str">
        <f t="shared" si="49"/>
        <v/>
      </c>
      <c r="AH26" s="14" t="str">
        <f t="shared" ref="AH26:AH31" si="52">if(AA26=1, 1, IF(AA26="", "", If(AA26&gt;$K$212, $L$212, if(AA26&gt;$K$211, $L$211, if(AA26&gt;$K$210, $L$210, if(AA26&gt;$K$209, $L$209, if(AA26&gt;$K$208, $L$208, if(AA26&gt;$K$206, $L$206, if(AA26&gt;$K$204, $L$204, if(AA26&gt;$K$202, $L$202, if(AA26&gt;$K$200, $L$200, if(AA26&gt;$K$198, $L$198, if(AA26&gt;$K$194, $L$194, if(AA26&gt;$K$190, $L$190, if(AA26&gt;$K$186, $L$186, if(AA26&gt;$K$182, $L$182, if(AA26&gt;$K$178, $L$178, $L$178)))))))))))))))))</f>
        <v/>
      </c>
      <c r="AI26" s="14">
        <f t="shared" ref="AI26:AI31" si="53">IF(SUM(AC26:AH26)=0, "", SUM(AC26:AH26))</f>
        <v>3.79</v>
      </c>
      <c r="AJ26" s="14"/>
      <c r="AK26" s="14">
        <f>IF(AI26="", "", IF(AI27="", IF(AI28="",AI26-AB26-1-AI29, AI26-AB26-1-AI28), AI26-AB26-1-AI27))</f>
        <v>-1.95</v>
      </c>
    </row>
    <row r="27" ht="12.75" customHeight="1">
      <c r="A27" s="49" t="s">
        <v>19</v>
      </c>
      <c r="B27" s="80">
        <v>3.0</v>
      </c>
      <c r="C27" s="49"/>
      <c r="D27" s="53"/>
      <c r="E27" s="53"/>
      <c r="F27" s="53"/>
      <c r="G27" s="53"/>
      <c r="H27" s="53"/>
      <c r="I27" s="53"/>
      <c r="J27" s="14" t="str">
        <f t="shared" ref="J27:N27" si="50">IF(C27="","", LOOKUP(C27, $D$160:$D$223, E$160:E$223))</f>
        <v/>
      </c>
      <c r="K27" s="14" t="str">
        <f t="shared" si="50"/>
        <v/>
      </c>
      <c r="L27" s="14" t="str">
        <f t="shared" si="50"/>
        <v/>
      </c>
      <c r="M27" s="14" t="str">
        <f t="shared" si="50"/>
        <v/>
      </c>
      <c r="N27" s="14" t="str">
        <f t="shared" si="50"/>
        <v/>
      </c>
      <c r="O27" s="14" t="str">
        <f t="shared" ref="O27:O32" si="55">if(H27=1, 1, IF(H27="", "", If(H27&gt;$K$212, $L$212, if(H27&gt;$K$211, $L$211, if(H27&gt;$K$210, $L$210, if(H27&gt;$K$209, $L$209, if(H27&gt;$K$208, $L$208, if(H27&gt;$K$206, $L$206, if(H27&gt;$K$204, $L$204, if(H27&gt;$K$202, $L$202, if(H27&gt;$K$200, $L$200, if(H27&gt;$K$198, $L$198, if(H27&gt;$K$194, $L$194, if(H27&gt;$K$190, $L$190, if(H27&gt;$K$186, $L$186, if(H27&gt;$K$182, $L$182, if(H27&gt;$K$178, $L$178, $L$178)))))))))))))))))</f>
        <v/>
      </c>
      <c r="P27" s="14" t="str">
        <f t="shared" ref="P27:P32" si="56">IF(SUM(J27:O27)=0, "", SUM(J27:O27))</f>
        <v/>
      </c>
      <c r="Q27" s="14"/>
      <c r="R27" s="14" t="str">
        <f>IF(P27="", "", IF(P28="", IF(P29="",P27-I27-1-P30, P27-I27-1-P29), P27-I27-1-P28))</f>
        <v/>
      </c>
      <c r="S27" s="14"/>
      <c r="T27" s="54" t="s">
        <v>33</v>
      </c>
      <c r="U27" s="52"/>
      <c r="V27" s="51"/>
      <c r="W27" s="57"/>
      <c r="X27" s="54"/>
      <c r="Y27" s="57"/>
      <c r="Z27" s="57"/>
      <c r="AA27" s="51"/>
      <c r="AB27" s="57"/>
      <c r="AC27" s="14" t="str">
        <f t="shared" ref="AC27:AG27" si="51">IF(V27="","", LOOKUP(V27, $D$160:$D$223, E$160:E$223))</f>
        <v/>
      </c>
      <c r="AD27" s="14" t="str">
        <f t="shared" si="51"/>
        <v/>
      </c>
      <c r="AE27" s="14" t="str">
        <f t="shared" si="51"/>
        <v/>
      </c>
      <c r="AF27" s="14" t="str">
        <f t="shared" si="51"/>
        <v/>
      </c>
      <c r="AG27" s="14" t="str">
        <f t="shared" si="51"/>
        <v/>
      </c>
      <c r="AH27" s="14" t="str">
        <f t="shared" si="52"/>
        <v/>
      </c>
      <c r="AI27" s="14" t="str">
        <f t="shared" si="53"/>
        <v/>
      </c>
      <c r="AJ27" s="14"/>
      <c r="AK27" s="14" t="str">
        <f t="shared" ref="AK27:AK29" si="58">IF(AI27="", "", IF(AI28="", AI27-AB27-1-AI29, AI27-AB27-1-AI28))</f>
        <v/>
      </c>
    </row>
    <row r="28" ht="12.75" customHeight="1">
      <c r="A28" s="54" t="s">
        <v>33</v>
      </c>
      <c r="B28" s="52"/>
      <c r="C28" s="51"/>
      <c r="D28" s="57"/>
      <c r="E28" s="54"/>
      <c r="F28" s="57"/>
      <c r="G28" s="57"/>
      <c r="H28" s="51"/>
      <c r="I28" s="57"/>
      <c r="J28" s="14" t="str">
        <f t="shared" ref="J28:N28" si="54">IF(C28="","", LOOKUP(C28, $D$160:$D$223, E$160:E$223))</f>
        <v/>
      </c>
      <c r="K28" s="14" t="str">
        <f t="shared" si="54"/>
        <v/>
      </c>
      <c r="L28" s="14" t="str">
        <f t="shared" si="54"/>
        <v/>
      </c>
      <c r="M28" s="14" t="str">
        <f t="shared" si="54"/>
        <v/>
      </c>
      <c r="N28" s="14" t="str">
        <f t="shared" si="54"/>
        <v/>
      </c>
      <c r="O28" s="14" t="str">
        <f t="shared" si="55"/>
        <v/>
      </c>
      <c r="P28" s="14" t="str">
        <f t="shared" si="56"/>
        <v/>
      </c>
      <c r="Q28" s="14"/>
      <c r="R28" s="14" t="str">
        <f t="shared" ref="R28:R30" si="60">IF(P28="", "", IF(P29="", P28-I28-1-P30, P28-I28-1-P29))</f>
        <v/>
      </c>
      <c r="S28" s="14"/>
      <c r="U28" s="52"/>
      <c r="V28" s="54"/>
      <c r="W28" s="54">
        <v>75.0</v>
      </c>
      <c r="X28" s="54"/>
      <c r="Y28" s="57"/>
      <c r="Z28" s="57"/>
      <c r="AA28" s="51"/>
      <c r="AB28" s="57"/>
      <c r="AC28" s="14" t="str">
        <f t="shared" ref="AC28:AG28" si="57">IF(V28="","", LOOKUP(V28, $D$160:$D$223, E$160:E$223))</f>
        <v/>
      </c>
      <c r="AD28" s="14">
        <f t="shared" si="57"/>
        <v>2.74</v>
      </c>
      <c r="AE28" s="14" t="str">
        <f t="shared" si="57"/>
        <v/>
      </c>
      <c r="AF28" s="14" t="str">
        <f t="shared" si="57"/>
        <v/>
      </c>
      <c r="AG28" s="14" t="str">
        <f t="shared" si="57"/>
        <v/>
      </c>
      <c r="AH28" s="14" t="str">
        <f t="shared" si="52"/>
        <v/>
      </c>
      <c r="AI28" s="14">
        <f t="shared" si="53"/>
        <v>2.74</v>
      </c>
      <c r="AJ28" s="14"/>
      <c r="AK28" s="14">
        <f t="shared" si="58"/>
        <v>-0.9</v>
      </c>
    </row>
    <row r="29" ht="12.75" customHeight="1">
      <c r="B29" s="52"/>
      <c r="C29" s="54"/>
      <c r="D29" s="57"/>
      <c r="E29" s="54"/>
      <c r="F29" s="57"/>
      <c r="G29" s="57"/>
      <c r="H29" s="51"/>
      <c r="I29" s="57"/>
      <c r="J29" s="14" t="str">
        <f t="shared" ref="J29:N29" si="59">IF(C29="","", LOOKUP(C29, $D$160:$D$223, E$160:E$223))</f>
        <v/>
      </c>
      <c r="K29" s="14" t="str">
        <f t="shared" si="59"/>
        <v/>
      </c>
      <c r="L29" s="14" t="str">
        <f t="shared" si="59"/>
        <v/>
      </c>
      <c r="M29" s="14" t="str">
        <f t="shared" si="59"/>
        <v/>
      </c>
      <c r="N29" s="14" t="str">
        <f t="shared" si="59"/>
        <v/>
      </c>
      <c r="O29" s="14" t="str">
        <f t="shared" si="55"/>
        <v/>
      </c>
      <c r="P29" s="14" t="str">
        <f t="shared" si="56"/>
        <v/>
      </c>
      <c r="Q29" s="14"/>
      <c r="R29" s="14" t="str">
        <f t="shared" si="60"/>
        <v/>
      </c>
      <c r="S29" s="14"/>
      <c r="T29" s="55" t="s">
        <v>35</v>
      </c>
      <c r="U29" s="52"/>
      <c r="V29" s="51"/>
      <c r="W29" s="55"/>
      <c r="X29" s="55">
        <v>25.0</v>
      </c>
      <c r="Y29" s="55"/>
      <c r="Z29" s="58"/>
      <c r="AA29" s="52"/>
      <c r="AB29" s="58"/>
      <c r="AC29" s="14" t="str">
        <f t="shared" ref="AC29:AG29" si="61">IF(V29="","", LOOKUP(V29, $D$160:$D$223, E$160:E$223))</f>
        <v/>
      </c>
      <c r="AD29" s="14" t="str">
        <f t="shared" si="61"/>
        <v/>
      </c>
      <c r="AE29" s="14">
        <f t="shared" si="61"/>
        <v>2.64</v>
      </c>
      <c r="AF29" s="14" t="str">
        <f t="shared" si="61"/>
        <v/>
      </c>
      <c r="AG29" s="14" t="str">
        <f t="shared" si="61"/>
        <v/>
      </c>
      <c r="AH29" s="14" t="str">
        <f t="shared" si="52"/>
        <v/>
      </c>
      <c r="AI29" s="14">
        <f t="shared" si="53"/>
        <v>2.64</v>
      </c>
      <c r="AJ29" s="14"/>
      <c r="AK29" s="14">
        <f t="shared" si="58"/>
        <v>-0.34</v>
      </c>
    </row>
    <row r="30" ht="12.75" customHeight="1">
      <c r="A30" s="55" t="s">
        <v>35</v>
      </c>
      <c r="B30" s="52"/>
      <c r="C30" s="51"/>
      <c r="D30" s="55"/>
      <c r="E30" s="55"/>
      <c r="F30" s="55"/>
      <c r="G30" s="58"/>
      <c r="H30" s="52"/>
      <c r="I30" s="58"/>
      <c r="J30" s="14" t="str">
        <f t="shared" ref="J30:N30" si="62">IF(C30="","", LOOKUP(C30, $D$160:$D$223, E$160:E$223))</f>
        <v/>
      </c>
      <c r="K30" s="14" t="str">
        <f t="shared" si="62"/>
        <v/>
      </c>
      <c r="L30" s="14" t="str">
        <f t="shared" si="62"/>
        <v/>
      </c>
      <c r="M30" s="14" t="str">
        <f t="shared" si="62"/>
        <v/>
      </c>
      <c r="N30" s="14" t="str">
        <f t="shared" si="62"/>
        <v/>
      </c>
      <c r="O30" s="14" t="str">
        <f t="shared" si="55"/>
        <v/>
      </c>
      <c r="P30" s="14" t="str">
        <f t="shared" si="56"/>
        <v/>
      </c>
      <c r="Q30" s="14"/>
      <c r="R30" s="14" t="str">
        <f t="shared" si="60"/>
        <v/>
      </c>
      <c r="S30" s="14"/>
      <c r="T30" s="56" t="s">
        <v>22</v>
      </c>
      <c r="U30" s="52"/>
      <c r="V30" s="51"/>
      <c r="W30" s="51"/>
      <c r="X30" s="51"/>
      <c r="Y30" s="51"/>
      <c r="Z30" s="51"/>
      <c r="AA30" s="56">
        <v>36.0</v>
      </c>
      <c r="AB30" s="59"/>
      <c r="AC30" s="14" t="str">
        <f t="shared" ref="AC30:AG30" si="63">IF(V30="","", LOOKUP(V30, $D$160:$D$223, E$160:E$223))</f>
        <v/>
      </c>
      <c r="AD30" s="14" t="str">
        <f t="shared" si="63"/>
        <v/>
      </c>
      <c r="AE30" s="14" t="str">
        <f t="shared" si="63"/>
        <v/>
      </c>
      <c r="AF30" s="14" t="str">
        <f t="shared" si="63"/>
        <v/>
      </c>
      <c r="AG30" s="14" t="str">
        <f t="shared" si="63"/>
        <v/>
      </c>
      <c r="AH30" s="14">
        <f t="shared" si="52"/>
        <v>1.98</v>
      </c>
      <c r="AI30" s="14">
        <f t="shared" si="53"/>
        <v>1.98</v>
      </c>
      <c r="AJ30" s="14"/>
      <c r="AK30" s="14">
        <f t="shared" ref="AK30:AK31" si="66">IF(AI30="", "", AI30-AB30-1-AI31)</f>
        <v>-0.06</v>
      </c>
    </row>
    <row r="31" ht="12.75" customHeight="1">
      <c r="A31" s="56" t="s">
        <v>22</v>
      </c>
      <c r="B31" s="52"/>
      <c r="C31" s="51"/>
      <c r="D31" s="51"/>
      <c r="E31" s="51"/>
      <c r="F31" s="51"/>
      <c r="G31" s="51"/>
      <c r="H31" s="56"/>
      <c r="I31" s="59"/>
      <c r="J31" s="14" t="str">
        <f t="shared" ref="J31:N31" si="64">IF(C31="","", LOOKUP(C31, $D$160:$D$223, E$160:E$223))</f>
        <v/>
      </c>
      <c r="K31" s="14" t="str">
        <f t="shared" si="64"/>
        <v/>
      </c>
      <c r="L31" s="14" t="str">
        <f t="shared" si="64"/>
        <v/>
      </c>
      <c r="M31" s="14" t="str">
        <f t="shared" si="64"/>
        <v/>
      </c>
      <c r="N31" s="14" t="str">
        <f t="shared" si="64"/>
        <v/>
      </c>
      <c r="O31" s="14" t="str">
        <f t="shared" si="55"/>
        <v/>
      </c>
      <c r="P31" s="14" t="str">
        <f t="shared" si="56"/>
        <v/>
      </c>
      <c r="Q31" s="14"/>
      <c r="R31" s="14" t="str">
        <f t="shared" ref="R31:R32" si="68">IF(P31="", "", P31-I31-1-P32)</f>
        <v/>
      </c>
      <c r="S31" s="14"/>
      <c r="T31" s="14"/>
      <c r="U31" s="52"/>
      <c r="V31" s="51"/>
      <c r="W31" s="51"/>
      <c r="X31" s="51"/>
      <c r="Y31" s="51"/>
      <c r="Z31" s="51"/>
      <c r="AA31" s="56">
        <v>2.0</v>
      </c>
      <c r="AB31" s="61"/>
      <c r="AC31" s="14" t="str">
        <f t="shared" ref="AC31:AG31" si="65">IF(V31="","", LOOKUP(V31, $D$160:$D$223, E$160:E$223))</f>
        <v/>
      </c>
      <c r="AD31" s="14" t="str">
        <f t="shared" si="65"/>
        <v/>
      </c>
      <c r="AE31" s="14" t="str">
        <f t="shared" si="65"/>
        <v/>
      </c>
      <c r="AF31" s="14" t="str">
        <f t="shared" si="65"/>
        <v/>
      </c>
      <c r="AG31" s="14" t="str">
        <f t="shared" si="65"/>
        <v/>
      </c>
      <c r="AH31" s="14">
        <f t="shared" si="52"/>
        <v>1.04</v>
      </c>
      <c r="AI31" s="14">
        <f t="shared" si="53"/>
        <v>1.04</v>
      </c>
      <c r="AJ31" s="14"/>
      <c r="AK31" s="14">
        <f t="shared" si="66"/>
        <v>0.04</v>
      </c>
    </row>
    <row r="32" ht="12.75" customHeight="1">
      <c r="A32" s="14"/>
      <c r="B32" s="52"/>
      <c r="C32" s="51"/>
      <c r="D32" s="51"/>
      <c r="E32" s="51"/>
      <c r="F32" s="51"/>
      <c r="G32" s="51"/>
      <c r="H32" s="56"/>
      <c r="I32" s="60"/>
      <c r="J32" s="14" t="str">
        <f t="shared" ref="J32:N32" si="67">IF(C32="","", LOOKUP(C32, $D$160:$D$223, E$160:E$223))</f>
        <v/>
      </c>
      <c r="K32" s="14" t="str">
        <f t="shared" si="67"/>
        <v/>
      </c>
      <c r="L32" s="14" t="str">
        <f t="shared" si="67"/>
        <v/>
      </c>
      <c r="M32" s="14" t="str">
        <f t="shared" si="67"/>
        <v/>
      </c>
      <c r="N32" s="14" t="str">
        <f t="shared" si="67"/>
        <v/>
      </c>
      <c r="O32" s="14" t="str">
        <f t="shared" si="55"/>
        <v/>
      </c>
      <c r="P32" s="14" t="str">
        <f t="shared" si="56"/>
        <v/>
      </c>
      <c r="Q32" s="14"/>
      <c r="R32" s="14" t="str">
        <f t="shared" si="68"/>
        <v/>
      </c>
      <c r="S32" s="14"/>
      <c r="T32" s="14"/>
      <c r="U32" s="14"/>
      <c r="V32" s="47" t="s">
        <v>12</v>
      </c>
      <c r="W32" s="47" t="s">
        <v>13</v>
      </c>
      <c r="X32" s="47" t="s">
        <v>14</v>
      </c>
      <c r="Y32" s="47" t="s">
        <v>15</v>
      </c>
      <c r="Z32" s="47" t="s">
        <v>16</v>
      </c>
      <c r="AA32" s="47" t="s">
        <v>17</v>
      </c>
      <c r="AB32" s="47" t="s">
        <v>18</v>
      </c>
      <c r="AC32" s="14"/>
      <c r="AD32" s="14"/>
      <c r="AE32" s="14"/>
      <c r="AF32" s="14"/>
      <c r="AG32" s="14"/>
      <c r="AH32" s="14"/>
      <c r="AI32" s="14"/>
      <c r="AJ32" s="14"/>
      <c r="AK32" s="14"/>
    </row>
    <row r="33" ht="12.75" customHeight="1">
      <c r="A33" s="14"/>
      <c r="B33" s="47"/>
      <c r="C33" s="47" t="s">
        <v>12</v>
      </c>
      <c r="D33" s="47" t="s">
        <v>13</v>
      </c>
      <c r="E33" s="47" t="s">
        <v>14</v>
      </c>
      <c r="F33" s="47" t="s">
        <v>15</v>
      </c>
      <c r="G33" s="47" t="s">
        <v>16</v>
      </c>
      <c r="H33" s="47" t="s">
        <v>17</v>
      </c>
      <c r="I33" s="47" t="s">
        <v>18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49" t="s">
        <v>19</v>
      </c>
      <c r="U33" s="80">
        <v>13.0</v>
      </c>
      <c r="V33" s="50">
        <v>388.0</v>
      </c>
      <c r="W33" s="51"/>
      <c r="X33" s="52"/>
      <c r="Y33" s="52"/>
      <c r="Z33" s="52"/>
      <c r="AA33" s="51"/>
      <c r="AB33" s="53"/>
      <c r="AC33" s="14">
        <f t="shared" ref="AC33:AG33" si="69">IF(V33="","", LOOKUP(V33, $D$160:$D$223, E$160:E$223))</f>
        <v>3.96</v>
      </c>
      <c r="AD33" s="14" t="str">
        <f t="shared" si="69"/>
        <v/>
      </c>
      <c r="AE33" s="14" t="str">
        <f t="shared" si="69"/>
        <v/>
      </c>
      <c r="AF33" s="14" t="str">
        <f t="shared" si="69"/>
        <v/>
      </c>
      <c r="AG33" s="14" t="str">
        <f t="shared" si="69"/>
        <v/>
      </c>
      <c r="AH33" s="14" t="str">
        <f t="shared" ref="AH33:AH38" si="72">if(AA33=1, 1, IF(AA33="", "", If(AA33&gt;$K$212, $L$212, if(AA33&gt;$K$211, $L$211, if(AA33&gt;$K$210, $L$210, if(AA33&gt;$K$209, $L$209, if(AA33&gt;$K$208, $L$208, if(AA33&gt;$K$206, $L$206, if(AA33&gt;$K$204, $L$204, if(AA33&gt;$K$202, $L$202, if(AA33&gt;$K$200, $L$200, if(AA33&gt;$K$198, $L$198, if(AA33&gt;$K$194, $L$194, if(AA33&gt;$K$190, $L$190, if(AA33&gt;$K$186, $L$186, if(AA33&gt;$K$182, $L$182, if(AA33&gt;$K$178, $L$178, $L$178)))))))))))))))))</f>
        <v/>
      </c>
      <c r="AI33" s="14">
        <f t="shared" ref="AI33:AI38" si="73">IF(SUM(AC33:AH33)=0, "", SUM(AC33:AH33))</f>
        <v>3.96</v>
      </c>
      <c r="AJ33" s="14"/>
      <c r="AK33" s="14">
        <f>IF(AI33="", "", IF(AI34="", IF(AI35="",AI33-AB33-1-AI36, AI33-AB33-1-AI35), AI33-AB33-1-AI34))</f>
        <v>0.19</v>
      </c>
    </row>
    <row r="34" ht="12.75" customHeight="1">
      <c r="A34" s="49" t="s">
        <v>19</v>
      </c>
      <c r="B34" s="80">
        <v>4.0</v>
      </c>
      <c r="C34" s="50"/>
      <c r="D34" s="51"/>
      <c r="E34" s="52"/>
      <c r="F34" s="52"/>
      <c r="G34" s="52"/>
      <c r="H34" s="51"/>
      <c r="I34" s="53"/>
      <c r="J34" s="14" t="str">
        <f t="shared" ref="J34:N34" si="70">IF(C34="","", LOOKUP(C34, $D$160:$D$223, E$160:E$223))</f>
        <v/>
      </c>
      <c r="K34" s="14" t="str">
        <f t="shared" si="70"/>
        <v/>
      </c>
      <c r="L34" s="14" t="str">
        <f t="shared" si="70"/>
        <v/>
      </c>
      <c r="M34" s="14" t="str">
        <f t="shared" si="70"/>
        <v/>
      </c>
      <c r="N34" s="14" t="str">
        <f t="shared" si="70"/>
        <v/>
      </c>
      <c r="O34" s="14" t="str">
        <f t="shared" ref="O34:O39" si="75">if(H34=1, 1, IF(H34="", "", If(H34&gt;$K$212, $L$212, if(H34&gt;$K$211, $L$211, if(H34&gt;$K$210, $L$210, if(H34&gt;$K$209, $L$209, if(H34&gt;$K$208, $L$208, if(H34&gt;$K$206, $L$206, if(H34&gt;$K$204, $L$204, if(H34&gt;$K$202, $L$202, if(H34&gt;$K$200, $L$200, if(H34&gt;$K$198, $L$198, if(H34&gt;$K$194, $L$194, if(H34&gt;$K$190, $L$190, if(H34&gt;$K$186, $L$186, if(H34&gt;$K$182, $L$182, if(H34&gt;$K$178, $L$178, $L$178)))))))))))))))))</f>
        <v/>
      </c>
      <c r="P34" s="14" t="str">
        <f t="shared" ref="P34:P39" si="76">IF(SUM(J34:O34)=0, "", SUM(J34:O34))</f>
        <v/>
      </c>
      <c r="Q34" s="14"/>
      <c r="R34" s="14" t="str">
        <f>IF(P34="", "", IF(P35="", IF(P36="",P34-I34-1-P37, P34-I34-1-P36), P34-I34-1-P35))</f>
        <v/>
      </c>
      <c r="S34" s="14"/>
      <c r="T34" s="54" t="s">
        <v>33</v>
      </c>
      <c r="U34" s="52"/>
      <c r="V34" s="51"/>
      <c r="W34" s="54"/>
      <c r="X34" s="54"/>
      <c r="Y34" s="57"/>
      <c r="Z34" s="57"/>
      <c r="AA34" s="51"/>
      <c r="AB34" s="57"/>
      <c r="AC34" s="14" t="str">
        <f t="shared" ref="AC34:AG34" si="71">IF(V34="","", LOOKUP(V34, $D$160:$D$223, E$160:E$223))</f>
        <v/>
      </c>
      <c r="AD34" s="14" t="str">
        <f t="shared" si="71"/>
        <v/>
      </c>
      <c r="AE34" s="14" t="str">
        <f t="shared" si="71"/>
        <v/>
      </c>
      <c r="AF34" s="14" t="str">
        <f t="shared" si="71"/>
        <v/>
      </c>
      <c r="AG34" s="14" t="str">
        <f t="shared" si="71"/>
        <v/>
      </c>
      <c r="AH34" s="14" t="str">
        <f t="shared" si="72"/>
        <v/>
      </c>
      <c r="AI34" s="14" t="str">
        <f t="shared" si="73"/>
        <v/>
      </c>
      <c r="AJ34" s="14"/>
      <c r="AK34" s="14" t="str">
        <f t="shared" ref="AK34:AK36" si="78">IF(AI34="", "", IF(AI35="", AI34-AB34-1-AI36, AI34-AB34-1-AI35))</f>
        <v/>
      </c>
    </row>
    <row r="35" ht="12.75" customHeight="1">
      <c r="A35" s="54" t="s">
        <v>33</v>
      </c>
      <c r="B35" s="52"/>
      <c r="C35" s="51"/>
      <c r="D35" s="57"/>
      <c r="E35" s="54"/>
      <c r="F35" s="57"/>
      <c r="G35" s="57"/>
      <c r="H35" s="51"/>
      <c r="I35" s="57"/>
      <c r="J35" s="14" t="str">
        <f t="shared" ref="J35:N35" si="74">IF(C35="","", LOOKUP(C35, $D$160:$D$223, E$160:E$223))</f>
        <v/>
      </c>
      <c r="K35" s="14" t="str">
        <f t="shared" si="74"/>
        <v/>
      </c>
      <c r="L35" s="14" t="str">
        <f t="shared" si="74"/>
        <v/>
      </c>
      <c r="M35" s="14" t="str">
        <f t="shared" si="74"/>
        <v/>
      </c>
      <c r="N35" s="14" t="str">
        <f t="shared" si="74"/>
        <v/>
      </c>
      <c r="O35" s="14" t="str">
        <f t="shared" si="75"/>
        <v/>
      </c>
      <c r="P35" s="14" t="str">
        <f t="shared" si="76"/>
        <v/>
      </c>
      <c r="Q35" s="14"/>
      <c r="R35" s="14" t="str">
        <f t="shared" ref="R35:R37" si="80">IF(P35="", "", IF(P36="", P35-I35-1-P37, P35-I35-1-P36))</f>
        <v/>
      </c>
      <c r="S35" s="14"/>
      <c r="U35" s="52"/>
      <c r="V35" s="57"/>
      <c r="W35" s="54">
        <v>85.0</v>
      </c>
      <c r="X35" s="54"/>
      <c r="Y35" s="57"/>
      <c r="Z35" s="57"/>
      <c r="AA35" s="51"/>
      <c r="AB35" s="57"/>
      <c r="AC35" s="14" t="str">
        <f t="shared" ref="AC35:AG35" si="77">IF(V35="","", LOOKUP(V35, $D$160:$D$223, E$160:E$223))</f>
        <v/>
      </c>
      <c r="AD35" s="67">
        <f t="shared" si="77"/>
        <v>2.77</v>
      </c>
      <c r="AE35" s="14" t="str">
        <f t="shared" si="77"/>
        <v/>
      </c>
      <c r="AF35" s="14" t="str">
        <f t="shared" si="77"/>
        <v/>
      </c>
      <c r="AG35" s="14" t="str">
        <f t="shared" si="77"/>
        <v/>
      </c>
      <c r="AH35" s="14" t="str">
        <f t="shared" si="72"/>
        <v/>
      </c>
      <c r="AI35" s="14">
        <f t="shared" si="73"/>
        <v>2.77</v>
      </c>
      <c r="AJ35" s="14"/>
      <c r="AK35" s="14">
        <f t="shared" si="78"/>
        <v>0.16</v>
      </c>
    </row>
    <row r="36" ht="12.75" customHeight="1">
      <c r="B36" s="52"/>
      <c r="C36" s="57"/>
      <c r="D36" s="57"/>
      <c r="E36" s="54"/>
      <c r="F36" s="57"/>
      <c r="G36" s="57"/>
      <c r="H36" s="51"/>
      <c r="I36" s="57"/>
      <c r="J36" s="14" t="str">
        <f t="shared" ref="J36:N36" si="79">IF(C36="","", LOOKUP(C36, $D$160:$D$223, E$160:E$223))</f>
        <v/>
      </c>
      <c r="K36" s="14" t="str">
        <f t="shared" si="79"/>
        <v/>
      </c>
      <c r="L36" s="14" t="str">
        <f t="shared" si="79"/>
        <v/>
      </c>
      <c r="M36" s="14" t="str">
        <f t="shared" si="79"/>
        <v/>
      </c>
      <c r="N36" s="14" t="str">
        <f t="shared" si="79"/>
        <v/>
      </c>
      <c r="O36" s="14" t="str">
        <f t="shared" si="75"/>
        <v/>
      </c>
      <c r="P36" s="14" t="str">
        <f t="shared" si="76"/>
        <v/>
      </c>
      <c r="Q36" s="14"/>
      <c r="R36" s="14" t="str">
        <f t="shared" si="80"/>
        <v/>
      </c>
      <c r="S36" s="14"/>
      <c r="T36" s="55" t="s">
        <v>35</v>
      </c>
      <c r="U36" s="52"/>
      <c r="V36" s="51"/>
      <c r="W36" s="55"/>
      <c r="X36" s="55"/>
      <c r="Y36" s="55"/>
      <c r="Z36" s="58"/>
      <c r="AA36" s="52"/>
      <c r="AB36" s="58"/>
      <c r="AC36" s="14" t="str">
        <f t="shared" ref="AC36:AG36" si="81">IF(V36="","", LOOKUP(V36, $D$160:$D$223, E$160:E$223))</f>
        <v/>
      </c>
      <c r="AD36" s="14" t="str">
        <f t="shared" si="81"/>
        <v/>
      </c>
      <c r="AE36" s="14" t="str">
        <f t="shared" si="81"/>
        <v/>
      </c>
      <c r="AF36" s="14" t="str">
        <f t="shared" si="81"/>
        <v/>
      </c>
      <c r="AG36" s="14" t="str">
        <f t="shared" si="81"/>
        <v/>
      </c>
      <c r="AH36" s="14" t="str">
        <f t="shared" si="72"/>
        <v/>
      </c>
      <c r="AI36" s="14" t="str">
        <f t="shared" si="73"/>
        <v/>
      </c>
      <c r="AJ36" s="14"/>
      <c r="AK36" s="14" t="str">
        <f t="shared" si="78"/>
        <v/>
      </c>
    </row>
    <row r="37" ht="12.75" customHeight="1">
      <c r="A37" s="55" t="s">
        <v>35</v>
      </c>
      <c r="B37" s="52"/>
      <c r="C37" s="51"/>
      <c r="D37" s="55"/>
      <c r="E37" s="55"/>
      <c r="F37" s="55"/>
      <c r="G37" s="58"/>
      <c r="H37" s="52"/>
      <c r="I37" s="58"/>
      <c r="J37" s="14" t="str">
        <f t="shared" ref="J37:N37" si="82">IF(C37="","", LOOKUP(C37, $D$160:$D$223, E$160:E$223))</f>
        <v/>
      </c>
      <c r="K37" s="14" t="str">
        <f t="shared" si="82"/>
        <v/>
      </c>
      <c r="L37" s="14" t="str">
        <f t="shared" si="82"/>
        <v/>
      </c>
      <c r="M37" s="14" t="str">
        <f t="shared" si="82"/>
        <v/>
      </c>
      <c r="N37" s="14" t="str">
        <f t="shared" si="82"/>
        <v/>
      </c>
      <c r="O37" s="14" t="str">
        <f t="shared" si="75"/>
        <v/>
      </c>
      <c r="P37" s="14" t="str">
        <f t="shared" si="76"/>
        <v/>
      </c>
      <c r="Q37" s="14"/>
      <c r="R37" s="14" t="str">
        <f t="shared" si="80"/>
        <v/>
      </c>
      <c r="S37" s="14"/>
      <c r="T37" s="56" t="s">
        <v>22</v>
      </c>
      <c r="U37" s="52"/>
      <c r="V37" s="51"/>
      <c r="W37" s="51"/>
      <c r="X37" s="51"/>
      <c r="Y37" s="51"/>
      <c r="Z37" s="51"/>
      <c r="AA37" s="56">
        <v>13.0</v>
      </c>
      <c r="AB37" s="59"/>
      <c r="AC37" s="14" t="str">
        <f t="shared" ref="AC37:AG37" si="83">IF(V37="","", LOOKUP(V37, $D$160:$D$223, E$160:E$223))</f>
        <v/>
      </c>
      <c r="AD37" s="14" t="str">
        <f t="shared" si="83"/>
        <v/>
      </c>
      <c r="AE37" s="14" t="str">
        <f t="shared" si="83"/>
        <v/>
      </c>
      <c r="AF37" s="14" t="str">
        <f t="shared" si="83"/>
        <v/>
      </c>
      <c r="AG37" s="14" t="str">
        <f t="shared" si="83"/>
        <v/>
      </c>
      <c r="AH37" s="14">
        <f t="shared" si="72"/>
        <v>1.61</v>
      </c>
      <c r="AI37" s="14">
        <f t="shared" si="73"/>
        <v>1.61</v>
      </c>
      <c r="AJ37" s="14"/>
      <c r="AK37" s="14">
        <f t="shared" ref="AK37:AK38" si="86">IF(AI37="", "", AI37-AB37-1-AI38)</f>
        <v>-0.39</v>
      </c>
    </row>
    <row r="38" ht="12.75" customHeight="1">
      <c r="A38" s="56" t="s">
        <v>22</v>
      </c>
      <c r="B38" s="52"/>
      <c r="C38" s="51"/>
      <c r="D38" s="51"/>
      <c r="E38" s="51"/>
      <c r="F38" s="51"/>
      <c r="G38" s="51"/>
      <c r="H38" s="56"/>
      <c r="I38" s="56"/>
      <c r="J38" s="14" t="str">
        <f t="shared" ref="J38:N38" si="84">IF(C38="","", LOOKUP(C38, $D$160:$D$223, E$160:E$223))</f>
        <v/>
      </c>
      <c r="K38" s="14" t="str">
        <f t="shared" si="84"/>
        <v/>
      </c>
      <c r="L38" s="14" t="str">
        <f t="shared" si="84"/>
        <v/>
      </c>
      <c r="M38" s="14" t="str">
        <f t="shared" si="84"/>
        <v/>
      </c>
      <c r="N38" s="14" t="str">
        <f t="shared" si="84"/>
        <v/>
      </c>
      <c r="O38" s="14" t="str">
        <f t="shared" si="75"/>
        <v/>
      </c>
      <c r="P38" s="14" t="str">
        <f t="shared" si="76"/>
        <v/>
      </c>
      <c r="Q38" s="14"/>
      <c r="R38" s="14" t="str">
        <f t="shared" ref="R38:R39" si="88">IF(P38="", "", P38-I38-1-P39)</f>
        <v/>
      </c>
      <c r="S38" s="14"/>
      <c r="T38" s="14"/>
      <c r="U38" s="52"/>
      <c r="V38" s="51"/>
      <c r="W38" s="51"/>
      <c r="X38" s="51"/>
      <c r="Y38" s="51"/>
      <c r="Z38" s="51"/>
      <c r="AA38" s="56">
        <v>1.0</v>
      </c>
      <c r="AB38" s="60"/>
      <c r="AC38" s="14" t="str">
        <f t="shared" ref="AC38:AG38" si="85">IF(V38="","", LOOKUP(V38, $D$160:$D$223, E$160:E$223))</f>
        <v/>
      </c>
      <c r="AD38" s="14" t="str">
        <f t="shared" si="85"/>
        <v/>
      </c>
      <c r="AE38" s="14" t="str">
        <f t="shared" si="85"/>
        <v/>
      </c>
      <c r="AF38" s="14" t="str">
        <f t="shared" si="85"/>
        <v/>
      </c>
      <c r="AG38" s="14" t="str">
        <f t="shared" si="85"/>
        <v/>
      </c>
      <c r="AH38" s="14">
        <f t="shared" si="72"/>
        <v>1</v>
      </c>
      <c r="AI38" s="14">
        <f t="shared" si="73"/>
        <v>1</v>
      </c>
      <c r="AJ38" s="14"/>
      <c r="AK38" s="14">
        <f t="shared" si="86"/>
        <v>0</v>
      </c>
    </row>
    <row r="39" ht="12.75" customHeight="1">
      <c r="A39" s="14"/>
      <c r="B39" s="52"/>
      <c r="C39" s="51"/>
      <c r="D39" s="51"/>
      <c r="E39" s="51"/>
      <c r="F39" s="51"/>
      <c r="G39" s="51"/>
      <c r="H39" s="56"/>
      <c r="I39" s="61"/>
      <c r="J39" s="14" t="str">
        <f t="shared" ref="J39:N39" si="87">IF(C39="","", LOOKUP(C39, $D$160:$D$223, E$160:E$223))</f>
        <v/>
      </c>
      <c r="K39" s="14" t="str">
        <f t="shared" si="87"/>
        <v/>
      </c>
      <c r="L39" s="14" t="str">
        <f t="shared" si="87"/>
        <v/>
      </c>
      <c r="M39" s="14" t="str">
        <f t="shared" si="87"/>
        <v/>
      </c>
      <c r="N39" s="14" t="str">
        <f t="shared" si="87"/>
        <v/>
      </c>
      <c r="O39" s="14" t="str">
        <f t="shared" si="75"/>
        <v/>
      </c>
      <c r="P39" s="14" t="str">
        <f t="shared" si="76"/>
        <v/>
      </c>
      <c r="Q39" s="14"/>
      <c r="R39" s="14" t="str">
        <f t="shared" si="88"/>
        <v/>
      </c>
      <c r="S39" s="14"/>
      <c r="T39" s="14"/>
      <c r="U39" s="14"/>
      <c r="V39" s="47" t="s">
        <v>12</v>
      </c>
      <c r="W39" s="47" t="s">
        <v>13</v>
      </c>
      <c r="X39" s="47" t="s">
        <v>14</v>
      </c>
      <c r="Y39" s="47" t="s">
        <v>15</v>
      </c>
      <c r="Z39" s="47" t="s">
        <v>16</v>
      </c>
      <c r="AA39" s="47" t="s">
        <v>17</v>
      </c>
      <c r="AB39" s="47" t="s">
        <v>18</v>
      </c>
      <c r="AC39" s="14"/>
      <c r="AD39" s="14"/>
      <c r="AE39" s="14"/>
      <c r="AF39" s="14"/>
      <c r="AG39" s="14"/>
      <c r="AH39" s="14"/>
      <c r="AI39" s="14"/>
      <c r="AJ39" s="14"/>
      <c r="AK39" s="14"/>
    </row>
    <row r="40" ht="12.75" customHeight="1">
      <c r="A40" s="14"/>
      <c r="B40" s="47"/>
      <c r="C40" s="47" t="s">
        <v>12</v>
      </c>
      <c r="D40" s="47" t="s">
        <v>13</v>
      </c>
      <c r="E40" s="47" t="s">
        <v>14</v>
      </c>
      <c r="F40" s="47" t="s">
        <v>15</v>
      </c>
      <c r="G40" s="47" t="s">
        <v>16</v>
      </c>
      <c r="H40" s="47" t="s">
        <v>17</v>
      </c>
      <c r="I40" s="47" t="s">
        <v>18</v>
      </c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49" t="s">
        <v>19</v>
      </c>
      <c r="U40" s="80">
        <v>14.0</v>
      </c>
      <c r="V40" s="50">
        <v>470.0</v>
      </c>
      <c r="W40" s="51"/>
      <c r="X40" s="52"/>
      <c r="Y40" s="52"/>
      <c r="Z40" s="52"/>
      <c r="AA40" s="51"/>
      <c r="AB40" s="49">
        <v>4.0</v>
      </c>
      <c r="AC40" s="14">
        <f t="shared" ref="AC40:AG40" si="89">IF(V40="","", LOOKUP(V40, $D$160:$D$223, E$160:E$223))</f>
        <v>4.17</v>
      </c>
      <c r="AD40" s="14" t="str">
        <f t="shared" si="89"/>
        <v/>
      </c>
      <c r="AE40" s="14" t="str">
        <f t="shared" si="89"/>
        <v/>
      </c>
      <c r="AF40" s="14" t="str">
        <f t="shared" si="89"/>
        <v/>
      </c>
      <c r="AG40" s="14" t="str">
        <f t="shared" si="89"/>
        <v/>
      </c>
      <c r="AH40" s="14" t="str">
        <f t="shared" ref="AH40:AH45" si="92">if(AA40=1, 1, IF(AA40="", "", If(AA40&gt;$K$212, $L$212, if(AA40&gt;$K$211, $L$211, if(AA40&gt;$K$210, $L$210, if(AA40&gt;$K$209, $L$209, if(AA40&gt;$K$208, $L$208, if(AA40&gt;$K$206, $L$206, if(AA40&gt;$K$204, $L$204, if(AA40&gt;$K$202, $L$202, if(AA40&gt;$K$200, $L$200, if(AA40&gt;$K$198, $L$198, if(AA40&gt;$K$194, $L$194, if(AA40&gt;$K$190, $L$190, if(AA40&gt;$K$186, $L$186, if(AA40&gt;$K$182, $L$182, if(AA40&gt;$K$178, $L$178, $L$178)))))))))))))))))</f>
        <v/>
      </c>
      <c r="AI40" s="14">
        <f t="shared" ref="AI40:AI45" si="93">IF(SUM(AC40:AH40)=0, "", SUM(AC40:AH40))</f>
        <v>4.17</v>
      </c>
      <c r="AJ40" s="14"/>
      <c r="AK40" s="14">
        <f>IF(AI40="", "", IF(AI41="", IF(AI42="",AI40-AB40-1-AI43, AI40-AB40-1-AI42), AI40-AB40-1-AI41))</f>
        <v>-4.41</v>
      </c>
    </row>
    <row r="41" ht="12.75" customHeight="1">
      <c r="A41" s="49" t="s">
        <v>19</v>
      </c>
      <c r="B41" s="80">
        <v>5.0</v>
      </c>
      <c r="C41" s="50"/>
      <c r="D41" s="51"/>
      <c r="E41" s="52"/>
      <c r="F41" s="52"/>
      <c r="G41" s="52"/>
      <c r="H41" s="51"/>
      <c r="I41" s="53"/>
      <c r="J41" s="14" t="str">
        <f t="shared" ref="J41:N41" si="90">IF(C41="","", LOOKUP(C41, $D$160:$D$223, E$160:E$223))</f>
        <v/>
      </c>
      <c r="K41" s="14" t="str">
        <f t="shared" si="90"/>
        <v/>
      </c>
      <c r="L41" s="14" t="str">
        <f t="shared" si="90"/>
        <v/>
      </c>
      <c r="M41" s="14" t="str">
        <f t="shared" si="90"/>
        <v/>
      </c>
      <c r="N41" s="14" t="str">
        <f t="shared" si="90"/>
        <v/>
      </c>
      <c r="O41" s="14" t="str">
        <f t="shared" ref="O41:O46" si="95">if(H41=1, 1, IF(H41="", "", If(H41&gt;$K$212, $L$212, if(H41&gt;$K$211, $L$211, if(H41&gt;$K$210, $L$210, if(H41&gt;$K$209, $L$209, if(H41&gt;$K$208, $L$208, if(H41&gt;$K$206, $L$206, if(H41&gt;$K$204, $L$204, if(H41&gt;$K$202, $L$202, if(H41&gt;$K$200, $L$200, if(H41&gt;$K$198, $L$198, if(H41&gt;$K$194, $L$194, if(H41&gt;$K$190, $L$190, if(H41&gt;$K$186, $L$186, if(H41&gt;$K$182, $L$182, if(H41&gt;$K$178, $L$178, $L$178)))))))))))))))))</f>
        <v/>
      </c>
      <c r="P41" s="14" t="str">
        <f t="shared" ref="P41:P46" si="96">IF(SUM(J41:O41)=0, "", SUM(J41:O41))</f>
        <v/>
      </c>
      <c r="Q41" s="14"/>
      <c r="R41" s="14" t="str">
        <f>IF(P41="", "", IF(P42="", IF(P43="",P41-I41-1-P44, P41-I41-1-P43), P41-I41-1-P42))</f>
        <v/>
      </c>
      <c r="S41" s="14"/>
      <c r="T41" s="54" t="s">
        <v>33</v>
      </c>
      <c r="U41" s="52"/>
      <c r="V41" s="51"/>
      <c r="W41" s="54">
        <v>261.0</v>
      </c>
      <c r="X41" s="54"/>
      <c r="Y41" s="57"/>
      <c r="Z41" s="57"/>
      <c r="AA41" s="51"/>
      <c r="AB41" s="54"/>
      <c r="AC41" s="14" t="str">
        <f t="shared" ref="AC41:AG41" si="91">IF(V41="","", LOOKUP(V41, $D$160:$D$223, E$160:E$223))</f>
        <v/>
      </c>
      <c r="AD41" s="14">
        <f t="shared" si="91"/>
        <v>3.58</v>
      </c>
      <c r="AE41" s="14" t="str">
        <f t="shared" si="91"/>
        <v/>
      </c>
      <c r="AF41" s="14" t="str">
        <f t="shared" si="91"/>
        <v/>
      </c>
      <c r="AG41" s="14" t="str">
        <f t="shared" si="91"/>
        <v/>
      </c>
      <c r="AH41" s="14" t="str">
        <f t="shared" si="92"/>
        <v/>
      </c>
      <c r="AI41" s="14">
        <f t="shared" si="93"/>
        <v>3.58</v>
      </c>
      <c r="AJ41" s="14"/>
      <c r="AK41" s="14">
        <f t="shared" ref="AK41:AK43" si="98">IF(AI41="", "", IF(AI42="", AI41-AB41-1-AI43, AI41-AB41-1-AI42))</f>
        <v>-0.16</v>
      </c>
    </row>
    <row r="42" ht="12.75" customHeight="1">
      <c r="A42" s="54" t="s">
        <v>33</v>
      </c>
      <c r="B42" s="52"/>
      <c r="C42" s="51"/>
      <c r="D42" s="57"/>
      <c r="E42" s="54"/>
      <c r="F42" s="57"/>
      <c r="G42" s="57"/>
      <c r="H42" s="51"/>
      <c r="I42" s="57"/>
      <c r="J42" s="14" t="str">
        <f t="shared" ref="J42:N42" si="94">IF(C42="","", LOOKUP(C42, $D$160:$D$223, E$160:E$223))</f>
        <v/>
      </c>
      <c r="K42" s="14" t="str">
        <f t="shared" si="94"/>
        <v/>
      </c>
      <c r="L42" s="14" t="str">
        <f t="shared" si="94"/>
        <v/>
      </c>
      <c r="M42" s="14" t="str">
        <f t="shared" si="94"/>
        <v/>
      </c>
      <c r="N42" s="14" t="str">
        <f t="shared" si="94"/>
        <v/>
      </c>
      <c r="O42" s="14" t="str">
        <f t="shared" si="95"/>
        <v/>
      </c>
      <c r="P42" s="14" t="str">
        <f t="shared" si="96"/>
        <v/>
      </c>
      <c r="Q42" s="14"/>
      <c r="R42" s="14" t="str">
        <f t="shared" ref="R42:R44" si="100">IF(P42="", "", IF(P43="", P42-I42-1-P44, P42-I42-1-P43))</f>
        <v/>
      </c>
      <c r="S42" s="14"/>
      <c r="U42" s="52"/>
      <c r="V42" s="54"/>
      <c r="W42" s="54">
        <v>75.0</v>
      </c>
      <c r="X42" s="54"/>
      <c r="Y42" s="57"/>
      <c r="Z42" s="57"/>
      <c r="AA42" s="51"/>
      <c r="AB42" s="57"/>
      <c r="AC42" s="14" t="str">
        <f t="shared" ref="AC42:AG42" si="97">IF(V42="","", LOOKUP(V42, $D$160:$D$223, E$160:E$223))</f>
        <v/>
      </c>
      <c r="AD42" s="14">
        <f t="shared" si="97"/>
        <v>2.74</v>
      </c>
      <c r="AE42" s="14" t="str">
        <f t="shared" si="97"/>
        <v/>
      </c>
      <c r="AF42" s="14" t="str">
        <f t="shared" si="97"/>
        <v/>
      </c>
      <c r="AG42" s="14" t="str">
        <f t="shared" si="97"/>
        <v/>
      </c>
      <c r="AH42" s="14" t="str">
        <f t="shared" si="92"/>
        <v/>
      </c>
      <c r="AI42" s="14">
        <f t="shared" si="93"/>
        <v>2.74</v>
      </c>
      <c r="AJ42" s="14"/>
      <c r="AK42" s="14">
        <f t="shared" si="98"/>
        <v>-0.13</v>
      </c>
    </row>
    <row r="43" ht="12.75" customHeight="1">
      <c r="B43" s="52"/>
      <c r="C43" s="57"/>
      <c r="D43" s="54"/>
      <c r="E43" s="54"/>
      <c r="F43" s="57"/>
      <c r="G43" s="57"/>
      <c r="H43" s="51"/>
      <c r="I43" s="57"/>
      <c r="J43" s="14" t="str">
        <f t="shared" ref="J43:N43" si="99">IF(C43="","", LOOKUP(C43, $D$160:$D$223, E$160:E$223))</f>
        <v/>
      </c>
      <c r="K43" s="14" t="str">
        <f t="shared" si="99"/>
        <v/>
      </c>
      <c r="L43" s="14" t="str">
        <f t="shared" si="99"/>
        <v/>
      </c>
      <c r="M43" s="14" t="str">
        <f t="shared" si="99"/>
        <v/>
      </c>
      <c r="N43" s="14" t="str">
        <f t="shared" si="99"/>
        <v/>
      </c>
      <c r="O43" s="14" t="str">
        <f t="shared" si="95"/>
        <v/>
      </c>
      <c r="P43" s="14" t="str">
        <f t="shared" si="96"/>
        <v/>
      </c>
      <c r="Q43" s="14"/>
      <c r="R43" s="14" t="str">
        <f t="shared" si="100"/>
        <v/>
      </c>
      <c r="S43" s="14"/>
      <c r="T43" s="55" t="s">
        <v>35</v>
      </c>
      <c r="U43" s="52"/>
      <c r="V43" s="51"/>
      <c r="W43" s="55"/>
      <c r="X43" s="55"/>
      <c r="Y43" s="55"/>
      <c r="Z43" s="58"/>
      <c r="AA43" s="52"/>
      <c r="AB43" s="58"/>
      <c r="AC43" s="14" t="str">
        <f t="shared" ref="AC43:AG43" si="101">IF(V43="","", LOOKUP(V43, $D$160:$D$223, E$160:E$223))</f>
        <v/>
      </c>
      <c r="AD43" s="14" t="str">
        <f t="shared" si="101"/>
        <v/>
      </c>
      <c r="AE43" s="14" t="str">
        <f t="shared" si="101"/>
        <v/>
      </c>
      <c r="AF43" s="14" t="str">
        <f t="shared" si="101"/>
        <v/>
      </c>
      <c r="AG43" s="14" t="str">
        <f t="shared" si="101"/>
        <v/>
      </c>
      <c r="AH43" s="14" t="str">
        <f t="shared" si="92"/>
        <v/>
      </c>
      <c r="AI43" s="14" t="str">
        <f t="shared" si="93"/>
        <v/>
      </c>
      <c r="AJ43" s="14"/>
      <c r="AK43" s="14" t="str">
        <f t="shared" si="98"/>
        <v/>
      </c>
    </row>
    <row r="44" ht="12.75" customHeight="1">
      <c r="A44" s="55" t="s">
        <v>35</v>
      </c>
      <c r="B44" s="52"/>
      <c r="C44" s="51"/>
      <c r="D44" s="55"/>
      <c r="E44" s="55"/>
      <c r="F44" s="55"/>
      <c r="G44" s="58"/>
      <c r="H44" s="52"/>
      <c r="I44" s="58"/>
      <c r="J44" s="14" t="str">
        <f t="shared" ref="J44:N44" si="102">IF(C44="","", LOOKUP(C44, $D$160:$D$223, E$160:E$223))</f>
        <v/>
      </c>
      <c r="K44" s="14" t="str">
        <f t="shared" si="102"/>
        <v/>
      </c>
      <c r="L44" s="14" t="str">
        <f t="shared" si="102"/>
        <v/>
      </c>
      <c r="M44" s="14" t="str">
        <f t="shared" si="102"/>
        <v/>
      </c>
      <c r="N44" s="14" t="str">
        <f t="shared" si="102"/>
        <v/>
      </c>
      <c r="O44" s="14" t="str">
        <f t="shared" si="95"/>
        <v/>
      </c>
      <c r="P44" s="14" t="str">
        <f t="shared" si="96"/>
        <v/>
      </c>
      <c r="Q44" s="14"/>
      <c r="R44" s="14" t="str">
        <f t="shared" si="100"/>
        <v/>
      </c>
      <c r="S44" s="14"/>
      <c r="T44" s="56" t="s">
        <v>22</v>
      </c>
      <c r="U44" s="52"/>
      <c r="V44" s="51"/>
      <c r="W44" s="51"/>
      <c r="X44" s="51"/>
      <c r="Y44" s="51"/>
      <c r="Z44" s="51"/>
      <c r="AA44" s="56">
        <v>30.0</v>
      </c>
      <c r="AB44" s="59"/>
      <c r="AC44" s="14" t="str">
        <f t="shared" ref="AC44:AG44" si="103">IF(V44="","", LOOKUP(V44, $D$160:$D$223, E$160:E$223))</f>
        <v/>
      </c>
      <c r="AD44" s="14" t="str">
        <f t="shared" si="103"/>
        <v/>
      </c>
      <c r="AE44" s="14" t="str">
        <f t="shared" si="103"/>
        <v/>
      </c>
      <c r="AF44" s="14" t="str">
        <f t="shared" si="103"/>
        <v/>
      </c>
      <c r="AG44" s="14" t="str">
        <f t="shared" si="103"/>
        <v/>
      </c>
      <c r="AH44" s="14">
        <f t="shared" si="92"/>
        <v>1.87</v>
      </c>
      <c r="AI44" s="14">
        <f t="shared" si="93"/>
        <v>1.87</v>
      </c>
      <c r="AJ44" s="14"/>
      <c r="AK44" s="14">
        <f t="shared" ref="AK44:AK45" si="106">IF(AI44="", "", AI44-AB44-1-AI45)</f>
        <v>-0.63</v>
      </c>
    </row>
    <row r="45" ht="12.75" customHeight="1">
      <c r="A45" s="56" t="s">
        <v>22</v>
      </c>
      <c r="B45" s="52"/>
      <c r="C45" s="51"/>
      <c r="D45" s="51"/>
      <c r="E45" s="51"/>
      <c r="F45" s="51"/>
      <c r="G45" s="51"/>
      <c r="H45" s="56"/>
      <c r="I45" s="59"/>
      <c r="J45" s="14" t="str">
        <f t="shared" ref="J45:N45" si="104">IF(C45="","", LOOKUP(C45, $D$160:$D$223, E$160:E$223))</f>
        <v/>
      </c>
      <c r="K45" s="14" t="str">
        <f t="shared" si="104"/>
        <v/>
      </c>
      <c r="L45" s="14" t="str">
        <f t="shared" si="104"/>
        <v/>
      </c>
      <c r="M45" s="14" t="str">
        <f t="shared" si="104"/>
        <v/>
      </c>
      <c r="N45" s="14" t="str">
        <f t="shared" si="104"/>
        <v/>
      </c>
      <c r="O45" s="14" t="str">
        <f t="shared" si="95"/>
        <v/>
      </c>
      <c r="P45" s="14" t="str">
        <f t="shared" si="96"/>
        <v/>
      </c>
      <c r="Q45" s="14"/>
      <c r="R45" s="14" t="str">
        <f t="shared" ref="R45:R46" si="108">IF(P45="", "", P45-I45-1-P46)</f>
        <v/>
      </c>
      <c r="S45" s="14"/>
      <c r="T45" s="14"/>
      <c r="U45" s="52"/>
      <c r="V45" s="51"/>
      <c r="W45" s="51"/>
      <c r="X45" s="51"/>
      <c r="Y45" s="51"/>
      <c r="Z45" s="51"/>
      <c r="AA45" s="56">
        <v>9.0</v>
      </c>
      <c r="AB45" s="60"/>
      <c r="AC45" s="14" t="str">
        <f t="shared" ref="AC45:AG45" si="105">IF(V45="","", LOOKUP(V45, $D$160:$D$223, E$160:E$223))</f>
        <v/>
      </c>
      <c r="AD45" s="14" t="str">
        <f t="shared" si="105"/>
        <v/>
      </c>
      <c r="AE45" s="14" t="str">
        <f t="shared" si="105"/>
        <v/>
      </c>
      <c r="AF45" s="14" t="str">
        <f t="shared" si="105"/>
        <v/>
      </c>
      <c r="AG45" s="14" t="str">
        <f t="shared" si="105"/>
        <v/>
      </c>
      <c r="AH45" s="67">
        <f t="shared" si="92"/>
        <v>1.5</v>
      </c>
      <c r="AI45" s="14">
        <f t="shared" si="93"/>
        <v>1.5</v>
      </c>
      <c r="AJ45" s="14"/>
      <c r="AK45" s="14">
        <f t="shared" si="106"/>
        <v>0.5</v>
      </c>
    </row>
    <row r="46" ht="12.75" customHeight="1">
      <c r="A46" s="14"/>
      <c r="B46" s="52"/>
      <c r="C46" s="51"/>
      <c r="D46" s="51"/>
      <c r="E46" s="51"/>
      <c r="F46" s="51"/>
      <c r="G46" s="51"/>
      <c r="H46" s="56"/>
      <c r="I46" s="60"/>
      <c r="J46" s="14" t="str">
        <f t="shared" ref="J46:N46" si="107">IF(C46="","", LOOKUP(C46, $D$160:$D$223, E$160:E$223))</f>
        <v/>
      </c>
      <c r="K46" s="14" t="str">
        <f t="shared" si="107"/>
        <v/>
      </c>
      <c r="L46" s="14" t="str">
        <f t="shared" si="107"/>
        <v/>
      </c>
      <c r="M46" s="14" t="str">
        <f t="shared" si="107"/>
        <v/>
      </c>
      <c r="N46" s="14" t="str">
        <f t="shared" si="107"/>
        <v/>
      </c>
      <c r="O46" s="14" t="str">
        <f t="shared" si="95"/>
        <v/>
      </c>
      <c r="P46" s="14" t="str">
        <f t="shared" si="96"/>
        <v/>
      </c>
      <c r="Q46" s="14"/>
      <c r="R46" s="14" t="str">
        <f t="shared" si="108"/>
        <v/>
      </c>
      <c r="S46" s="14"/>
      <c r="T46" s="14"/>
      <c r="U46" s="14"/>
      <c r="V46" s="47" t="s">
        <v>12</v>
      </c>
      <c r="W46" s="47" t="s">
        <v>13</v>
      </c>
      <c r="X46" s="47" t="s">
        <v>14</v>
      </c>
      <c r="Y46" s="47" t="s">
        <v>15</v>
      </c>
      <c r="Z46" s="47" t="s">
        <v>16</v>
      </c>
      <c r="AA46" s="47" t="s">
        <v>17</v>
      </c>
      <c r="AB46" s="47" t="s">
        <v>18</v>
      </c>
      <c r="AC46" s="14"/>
      <c r="AD46" s="14"/>
      <c r="AE46" s="14"/>
      <c r="AF46" s="14"/>
      <c r="AG46" s="14"/>
      <c r="AH46" s="14"/>
      <c r="AI46" s="14"/>
      <c r="AJ46" s="14"/>
      <c r="AK46" s="14"/>
    </row>
    <row r="47" ht="12.75" customHeight="1">
      <c r="A47" s="14"/>
      <c r="B47" s="47"/>
      <c r="C47" s="47" t="s">
        <v>12</v>
      </c>
      <c r="D47" s="47" t="s">
        <v>13</v>
      </c>
      <c r="E47" s="47" t="s">
        <v>14</v>
      </c>
      <c r="F47" s="47" t="s">
        <v>15</v>
      </c>
      <c r="G47" s="47" t="s">
        <v>16</v>
      </c>
      <c r="H47" s="47" t="s">
        <v>17</v>
      </c>
      <c r="I47" s="47" t="s">
        <v>18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49" t="s">
        <v>19</v>
      </c>
      <c r="U47" s="80">
        <v>15.0</v>
      </c>
      <c r="V47" s="50"/>
      <c r="W47" s="51"/>
      <c r="X47" s="52"/>
      <c r="Y47" s="52"/>
      <c r="Z47" s="52"/>
      <c r="AA47" s="51"/>
      <c r="AB47" s="53"/>
      <c r="AC47" s="14" t="str">
        <f t="shared" ref="AC47:AG47" si="109">IF(V47="","", LOOKUP(V47, $D$160:$D$223, E$160:E$223))</f>
        <v/>
      </c>
      <c r="AD47" s="14" t="str">
        <f t="shared" si="109"/>
        <v/>
      </c>
      <c r="AE47" s="14" t="str">
        <f t="shared" si="109"/>
        <v/>
      </c>
      <c r="AF47" s="14" t="str">
        <f t="shared" si="109"/>
        <v/>
      </c>
      <c r="AG47" s="14" t="str">
        <f t="shared" si="109"/>
        <v/>
      </c>
      <c r="AH47" s="14" t="str">
        <f t="shared" ref="AH47:AH73" si="112">if(AA47=1, 1, IF(AA47="", "", If(AA47&gt;$K$212, $L$212, if(AA47&gt;$K$211, $L$211, if(AA47&gt;$K$210, $L$210, if(AA47&gt;$K$209, $L$209, if(AA47&gt;$K$208, $L$208, if(AA47&gt;$K$206, $L$206, if(AA47&gt;$K$204, $L$204, if(AA47&gt;$K$202, $L$202, if(AA47&gt;$K$200, $L$200, if(AA47&gt;$K$198, $L$198, if(AA47&gt;$K$194, $L$194, if(AA47&gt;$K$190, $L$190, if(AA47&gt;$K$186, $L$186, if(AA47&gt;$K$182, $L$182, if(AA47&gt;$K$178, $L$178, $L$178)))))))))))))))))</f>
        <v/>
      </c>
      <c r="AI47" s="14" t="str">
        <f t="shared" ref="AI47:AI73" si="113">IF(SUM(AC47:AH47)=0, "", SUM(AC47:AH47))</f>
        <v/>
      </c>
      <c r="AJ47" s="14"/>
      <c r="AK47" s="14" t="str">
        <f>IF(AI47="", "", IF(AI48="", IF(AI49="",AI47-AB47-1-AI50, AI47-AB47-1-AI49), AI47-AB47-1-AI48))</f>
        <v/>
      </c>
    </row>
    <row r="48" ht="12.75" customHeight="1">
      <c r="A48" s="49" t="s">
        <v>19</v>
      </c>
      <c r="B48" s="80">
        <v>6.0</v>
      </c>
      <c r="C48" s="50"/>
      <c r="D48" s="51"/>
      <c r="E48" s="52"/>
      <c r="F48" s="52"/>
      <c r="G48" s="52"/>
      <c r="H48" s="51"/>
      <c r="I48" s="53"/>
      <c r="J48" s="14" t="str">
        <f t="shared" ref="J48:N48" si="110">IF(C48="","", LOOKUP(C48, $D$160:$D$223, E$160:E$223))</f>
        <v/>
      </c>
      <c r="K48" s="14" t="str">
        <f t="shared" si="110"/>
        <v/>
      </c>
      <c r="L48" s="14" t="str">
        <f t="shared" si="110"/>
        <v/>
      </c>
      <c r="M48" s="14" t="str">
        <f t="shared" si="110"/>
        <v/>
      </c>
      <c r="N48" s="14" t="str">
        <f t="shared" si="110"/>
        <v/>
      </c>
      <c r="O48" s="14" t="str">
        <f t="shared" ref="O48:O53" si="115">if(H48=1, 1, IF(H48="", "", If(H48&gt;$K$212, $L$212, if(H48&gt;$K$211, $L$211, if(H48&gt;$K$210, $L$210, if(H48&gt;$K$209, $L$209, if(H48&gt;$K$208, $L$208, if(H48&gt;$K$206, $L$206, if(H48&gt;$K$204, $L$204, if(H48&gt;$K$202, $L$202, if(H48&gt;$K$200, $L$200, if(H48&gt;$K$198, $L$198, if(H48&gt;$K$194, $L$194, if(H48&gt;$K$190, $L$190, if(H48&gt;$K$186, $L$186, if(H48&gt;$K$182, $L$182, if(H48&gt;$K$178, $L$178, $L$178)))))))))))))))))</f>
        <v/>
      </c>
      <c r="P48" s="14" t="str">
        <f t="shared" ref="P48:P53" si="116">IF(SUM(J48:O48)=0, "", SUM(J48:O48))</f>
        <v/>
      </c>
      <c r="Q48" s="14"/>
      <c r="R48" s="14" t="str">
        <f>IF(P48="", "", IF(P49="", IF(P50="",P48-I48-1-P51, P48-I48-1-P50), P48-I48-1-P49))</f>
        <v/>
      </c>
      <c r="S48" s="14"/>
      <c r="T48" s="54" t="s">
        <v>33</v>
      </c>
      <c r="U48" s="52"/>
      <c r="V48" s="51"/>
      <c r="W48" s="57"/>
      <c r="X48" s="54"/>
      <c r="Y48" s="57"/>
      <c r="Z48" s="57"/>
      <c r="AA48" s="51"/>
      <c r="AB48" s="57"/>
      <c r="AC48" s="14" t="str">
        <f t="shared" ref="AC48:AG48" si="111">IF(V48="","", LOOKUP(V48, $D$160:$D$223, E$160:E$223))</f>
        <v/>
      </c>
      <c r="AD48" s="14" t="str">
        <f t="shared" si="111"/>
        <v/>
      </c>
      <c r="AE48" s="14" t="str">
        <f t="shared" si="111"/>
        <v/>
      </c>
      <c r="AF48" s="14" t="str">
        <f t="shared" si="111"/>
        <v/>
      </c>
      <c r="AG48" s="14" t="str">
        <f t="shared" si="111"/>
        <v/>
      </c>
      <c r="AH48" s="14" t="str">
        <f t="shared" si="112"/>
        <v/>
      </c>
      <c r="AI48" s="14" t="str">
        <f t="shared" si="113"/>
        <v/>
      </c>
      <c r="AJ48" s="14"/>
      <c r="AK48" s="14" t="str">
        <f t="shared" ref="AK48:AK50" si="118">IF(AI48="", "", IF(AI49="", AI48-AB48-1-AI50, AI48-AB48-1-AI49))</f>
        <v/>
      </c>
    </row>
    <row r="49" ht="12.75" customHeight="1">
      <c r="A49" s="54" t="s">
        <v>33</v>
      </c>
      <c r="B49" s="52"/>
      <c r="C49" s="51"/>
      <c r="D49" s="57"/>
      <c r="E49" s="54"/>
      <c r="F49" s="57"/>
      <c r="G49" s="57"/>
      <c r="H49" s="51"/>
      <c r="I49" s="57"/>
      <c r="J49" s="14" t="str">
        <f t="shared" ref="J49:N49" si="114">IF(C49="","", LOOKUP(C49, $D$160:$D$223, E$160:E$223))</f>
        <v/>
      </c>
      <c r="K49" s="14" t="str">
        <f t="shared" si="114"/>
        <v/>
      </c>
      <c r="L49" s="14" t="str">
        <f t="shared" si="114"/>
        <v/>
      </c>
      <c r="M49" s="14" t="str">
        <f t="shared" si="114"/>
        <v/>
      </c>
      <c r="N49" s="14" t="str">
        <f t="shared" si="114"/>
        <v/>
      </c>
      <c r="O49" s="14" t="str">
        <f t="shared" si="115"/>
        <v/>
      </c>
      <c r="P49" s="14" t="str">
        <f t="shared" si="116"/>
        <v/>
      </c>
      <c r="Q49" s="14"/>
      <c r="R49" s="14" t="str">
        <f t="shared" ref="R49:R51" si="120">IF(P49="", "", IF(P50="", P49-I49-1-P51, P49-I49-1-P50))</f>
        <v/>
      </c>
      <c r="S49" s="14"/>
      <c r="U49" s="52"/>
      <c r="V49" s="54">
        <v>157.0</v>
      </c>
      <c r="W49" s="57"/>
      <c r="X49" s="54"/>
      <c r="Y49" s="57"/>
      <c r="Z49" s="57"/>
      <c r="AA49" s="51"/>
      <c r="AB49" s="57"/>
      <c r="AC49" s="14">
        <f t="shared" ref="AC49:AG49" si="117">IF(V49="","", LOOKUP(V49, $D$160:$D$223, E$160:E$223))</f>
        <v>2.99</v>
      </c>
      <c r="AD49" s="14" t="str">
        <f t="shared" si="117"/>
        <v/>
      </c>
      <c r="AE49" s="14" t="str">
        <f t="shared" si="117"/>
        <v/>
      </c>
      <c r="AF49" s="14" t="str">
        <f t="shared" si="117"/>
        <v/>
      </c>
      <c r="AG49" s="14" t="str">
        <f t="shared" si="117"/>
        <v/>
      </c>
      <c r="AH49" s="14" t="str">
        <f t="shared" si="112"/>
        <v/>
      </c>
      <c r="AI49" s="14">
        <f t="shared" si="113"/>
        <v>2.99</v>
      </c>
      <c r="AJ49" s="14"/>
      <c r="AK49" s="14">
        <f t="shared" si="118"/>
        <v>-0.7</v>
      </c>
    </row>
    <row r="50" ht="12.75" customHeight="1">
      <c r="B50" s="52"/>
      <c r="C50" s="57"/>
      <c r="D50" s="57"/>
      <c r="E50" s="54"/>
      <c r="F50" s="57"/>
      <c r="G50" s="57"/>
      <c r="H50" s="51"/>
      <c r="I50" s="57"/>
      <c r="J50" s="14" t="str">
        <f t="shared" ref="J50:N50" si="119">IF(C50="","", LOOKUP(C50, $D$160:$D$223, E$160:E$223))</f>
        <v/>
      </c>
      <c r="K50" s="14" t="str">
        <f t="shared" si="119"/>
        <v/>
      </c>
      <c r="L50" s="14" t="str">
        <f t="shared" si="119"/>
        <v/>
      </c>
      <c r="M50" s="14" t="str">
        <f t="shared" si="119"/>
        <v/>
      </c>
      <c r="N50" s="14" t="str">
        <f t="shared" si="119"/>
        <v/>
      </c>
      <c r="O50" s="14" t="str">
        <f t="shared" si="115"/>
        <v/>
      </c>
      <c r="P50" s="14" t="str">
        <f t="shared" si="116"/>
        <v/>
      </c>
      <c r="Q50" s="14"/>
      <c r="R50" s="14" t="str">
        <f t="shared" si="120"/>
        <v/>
      </c>
      <c r="S50" s="14"/>
      <c r="T50" s="55" t="s">
        <v>35</v>
      </c>
      <c r="U50" s="52"/>
      <c r="V50" s="51"/>
      <c r="W50" s="55"/>
      <c r="X50" s="55">
        <v>30.0</v>
      </c>
      <c r="Y50" s="55"/>
      <c r="Z50" s="58"/>
      <c r="AA50" s="52"/>
      <c r="AB50" s="58"/>
      <c r="AC50" s="14" t="str">
        <f t="shared" ref="AC50:AG50" si="121">IF(V50="","", LOOKUP(V50, $D$160:$D$223, E$160:E$223))</f>
        <v/>
      </c>
      <c r="AD50" s="14" t="str">
        <f t="shared" si="121"/>
        <v/>
      </c>
      <c r="AE50" s="14">
        <f t="shared" si="121"/>
        <v>2.69</v>
      </c>
      <c r="AF50" s="14" t="str">
        <f t="shared" si="121"/>
        <v/>
      </c>
      <c r="AG50" s="14" t="str">
        <f t="shared" si="121"/>
        <v/>
      </c>
      <c r="AH50" s="14" t="str">
        <f t="shared" si="112"/>
        <v/>
      </c>
      <c r="AI50" s="14">
        <f t="shared" si="113"/>
        <v>2.69</v>
      </c>
      <c r="AJ50" s="14"/>
      <c r="AK50" s="14">
        <f t="shared" si="118"/>
        <v>-0.18</v>
      </c>
    </row>
    <row r="51" ht="12.75" customHeight="1">
      <c r="A51" s="55" t="s">
        <v>35</v>
      </c>
      <c r="B51" s="52"/>
      <c r="C51" s="51"/>
      <c r="D51" s="55"/>
      <c r="E51" s="55"/>
      <c r="F51" s="55"/>
      <c r="G51" s="58"/>
      <c r="H51" s="52"/>
      <c r="I51" s="58"/>
      <c r="J51" s="14" t="str">
        <f t="shared" ref="J51:N51" si="122">IF(C51="","", LOOKUP(C51, $D$160:$D$223, E$160:E$223))</f>
        <v/>
      </c>
      <c r="K51" s="14" t="str">
        <f t="shared" si="122"/>
        <v/>
      </c>
      <c r="L51" s="14" t="str">
        <f t="shared" si="122"/>
        <v/>
      </c>
      <c r="M51" s="14" t="str">
        <f t="shared" si="122"/>
        <v/>
      </c>
      <c r="N51" s="14" t="str">
        <f t="shared" si="122"/>
        <v/>
      </c>
      <c r="O51" s="14" t="str">
        <f t="shared" si="115"/>
        <v/>
      </c>
      <c r="P51" s="14" t="str">
        <f t="shared" si="116"/>
        <v/>
      </c>
      <c r="Q51" s="14"/>
      <c r="R51" s="14" t="str">
        <f t="shared" si="120"/>
        <v/>
      </c>
      <c r="S51" s="14"/>
      <c r="T51" s="56" t="s">
        <v>22</v>
      </c>
      <c r="U51" s="52"/>
      <c r="V51" s="51"/>
      <c r="W51" s="51"/>
      <c r="X51" s="51"/>
      <c r="Y51" s="51"/>
      <c r="Z51" s="51"/>
      <c r="AA51" s="56">
        <v>30.0</v>
      </c>
      <c r="AB51" s="59"/>
      <c r="AC51" s="14" t="str">
        <f t="shared" ref="AC51:AG51" si="123">IF(V51="","", LOOKUP(V51, $D$160:$D$223, E$160:E$223))</f>
        <v/>
      </c>
      <c r="AD51" s="14" t="str">
        <f t="shared" si="123"/>
        <v/>
      </c>
      <c r="AE51" s="14" t="str">
        <f t="shared" si="123"/>
        <v/>
      </c>
      <c r="AF51" s="14" t="str">
        <f t="shared" si="123"/>
        <v/>
      </c>
      <c r="AG51" s="14" t="str">
        <f t="shared" si="123"/>
        <v/>
      </c>
      <c r="AH51" s="14">
        <f t="shared" si="112"/>
        <v>1.87</v>
      </c>
      <c r="AI51" s="14">
        <f t="shared" si="113"/>
        <v>1.87</v>
      </c>
      <c r="AJ51" s="14"/>
      <c r="AK51" s="14">
        <f t="shared" ref="AK51:AK53" si="126">IF(AI51="", "", AI51-AB51-1-AI52)</f>
        <v>-0.63</v>
      </c>
    </row>
    <row r="52" ht="12.75" customHeight="1">
      <c r="A52" s="56" t="s">
        <v>22</v>
      </c>
      <c r="B52" s="52"/>
      <c r="C52" s="51"/>
      <c r="D52" s="51"/>
      <c r="E52" s="51"/>
      <c r="F52" s="51"/>
      <c r="G52" s="51"/>
      <c r="H52" s="56"/>
      <c r="I52" s="59"/>
      <c r="J52" s="14" t="str">
        <f t="shared" ref="J52:N52" si="124">IF(C52="","", LOOKUP(C52, $D$160:$D$223, E$160:E$223))</f>
        <v/>
      </c>
      <c r="K52" s="14" t="str">
        <f t="shared" si="124"/>
        <v/>
      </c>
      <c r="L52" s="14" t="str">
        <f t="shared" si="124"/>
        <v/>
      </c>
      <c r="M52" s="14" t="str">
        <f t="shared" si="124"/>
        <v/>
      </c>
      <c r="N52" s="14" t="str">
        <f t="shared" si="124"/>
        <v/>
      </c>
      <c r="O52" s="14" t="str">
        <f t="shared" si="115"/>
        <v/>
      </c>
      <c r="P52" s="14" t="str">
        <f t="shared" si="116"/>
        <v/>
      </c>
      <c r="Q52" s="14"/>
      <c r="R52" s="14" t="str">
        <f t="shared" ref="R52:R53" si="128">IF(P52="", "", P52-I52-1-P53)</f>
        <v/>
      </c>
      <c r="S52" s="14"/>
      <c r="T52" s="14"/>
      <c r="U52" s="52"/>
      <c r="V52" s="51"/>
      <c r="W52" s="51"/>
      <c r="X52" s="51"/>
      <c r="Y52" s="51"/>
      <c r="Z52" s="51"/>
      <c r="AA52" s="56">
        <v>9.0</v>
      </c>
      <c r="AB52" s="60"/>
      <c r="AC52" s="14" t="str">
        <f t="shared" ref="AC52:AG52" si="125">IF(V52="","", LOOKUP(V52, $D$160:$D$223, E$160:E$223))</f>
        <v/>
      </c>
      <c r="AD52" s="14" t="str">
        <f t="shared" si="125"/>
        <v/>
      </c>
      <c r="AE52" s="14" t="str">
        <f t="shared" si="125"/>
        <v/>
      </c>
      <c r="AF52" s="14" t="str">
        <f t="shared" si="125"/>
        <v/>
      </c>
      <c r="AG52" s="14" t="str">
        <f t="shared" si="125"/>
        <v/>
      </c>
      <c r="AH52" s="67">
        <f t="shared" si="112"/>
        <v>1.5</v>
      </c>
      <c r="AI52" s="14">
        <f t="shared" si="113"/>
        <v>1.5</v>
      </c>
      <c r="AJ52" s="14"/>
      <c r="AK52" s="14">
        <f t="shared" si="126"/>
        <v>0.5</v>
      </c>
    </row>
    <row r="53" ht="12.75" customHeight="1">
      <c r="A53" s="14"/>
      <c r="B53" s="52"/>
      <c r="C53" s="51"/>
      <c r="D53" s="51"/>
      <c r="E53" s="51"/>
      <c r="F53" s="51"/>
      <c r="G53" s="51"/>
      <c r="H53" s="56"/>
      <c r="I53" s="61"/>
      <c r="J53" s="14" t="str">
        <f t="shared" ref="J53:N53" si="127">IF(C53="","", LOOKUP(C53, $D$160:$D$223, E$160:E$223))</f>
        <v/>
      </c>
      <c r="K53" s="14" t="str">
        <f t="shared" si="127"/>
        <v/>
      </c>
      <c r="L53" s="14" t="str">
        <f t="shared" si="127"/>
        <v/>
      </c>
      <c r="M53" s="14" t="str">
        <f t="shared" si="127"/>
        <v/>
      </c>
      <c r="N53" s="14" t="str">
        <f t="shared" si="127"/>
        <v/>
      </c>
      <c r="O53" s="14" t="str">
        <f t="shared" si="115"/>
        <v/>
      </c>
      <c r="P53" s="14" t="str">
        <f t="shared" si="116"/>
        <v/>
      </c>
      <c r="Q53" s="14"/>
      <c r="R53" s="14" t="str">
        <f t="shared" si="128"/>
        <v/>
      </c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 t="str">
        <f t="shared" ref="AC53:AG53" si="129">IF(V53="","", LOOKUP(V53, $D$160:$D$223, E$160:E$223))</f>
        <v/>
      </c>
      <c r="AD53" s="14" t="str">
        <f t="shared" si="129"/>
        <v/>
      </c>
      <c r="AE53" s="14" t="str">
        <f t="shared" si="129"/>
        <v/>
      </c>
      <c r="AF53" s="14" t="str">
        <f t="shared" si="129"/>
        <v/>
      </c>
      <c r="AG53" s="14" t="str">
        <f t="shared" si="129"/>
        <v/>
      </c>
      <c r="AH53" s="14" t="str">
        <f t="shared" si="112"/>
        <v/>
      </c>
      <c r="AI53" s="14" t="str">
        <f t="shared" si="113"/>
        <v/>
      </c>
      <c r="AJ53" s="14"/>
      <c r="AK53" s="14" t="str">
        <f t="shared" si="126"/>
        <v/>
      </c>
    </row>
    <row r="54" ht="12.75" customHeight="1">
      <c r="A54" s="14"/>
      <c r="B54" s="14"/>
      <c r="C54" s="47" t="s">
        <v>12</v>
      </c>
      <c r="D54" s="47" t="s">
        <v>13</v>
      </c>
      <c r="E54" s="47" t="s">
        <v>14</v>
      </c>
      <c r="F54" s="47" t="s">
        <v>15</v>
      </c>
      <c r="G54" s="47" t="s">
        <v>16</v>
      </c>
      <c r="H54" s="47" t="s">
        <v>17</v>
      </c>
      <c r="I54" s="47" t="s">
        <v>18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49" t="s">
        <v>19</v>
      </c>
      <c r="U54" s="80">
        <v>16.0</v>
      </c>
      <c r="V54" s="50">
        <v>468.0</v>
      </c>
      <c r="W54" s="51"/>
      <c r="X54" s="52"/>
      <c r="Y54" s="52"/>
      <c r="Z54" s="52"/>
      <c r="AA54" s="51"/>
      <c r="AB54" s="49"/>
      <c r="AC54" s="14">
        <f t="shared" ref="AC54:AG54" si="130">IF(V54="","", LOOKUP(V54, $D$160:$D$223, E$160:E$223))</f>
        <v>4.17</v>
      </c>
      <c r="AD54" s="14" t="str">
        <f t="shared" si="130"/>
        <v/>
      </c>
      <c r="AE54" s="14" t="str">
        <f t="shared" si="130"/>
        <v/>
      </c>
      <c r="AF54" s="14" t="str">
        <f t="shared" si="130"/>
        <v/>
      </c>
      <c r="AG54" s="14" t="str">
        <f t="shared" si="130"/>
        <v/>
      </c>
      <c r="AH54" s="14" t="str">
        <f t="shared" si="112"/>
        <v/>
      </c>
      <c r="AI54" s="14">
        <f t="shared" si="113"/>
        <v>4.17</v>
      </c>
      <c r="AJ54" s="14"/>
      <c r="AK54" s="14">
        <f>IF(AI54="", "", IF(AI55="", IF(AI56="",AI54-AB54-1-AI57, AI54-AB54-1-AI56), AI54-AB54-1-AI55))</f>
        <v>-0.86</v>
      </c>
    </row>
    <row r="55" ht="12.75" customHeight="1">
      <c r="A55" s="49" t="s">
        <v>19</v>
      </c>
      <c r="B55" s="80">
        <v>7.0</v>
      </c>
      <c r="C55" s="50"/>
      <c r="D55" s="51"/>
      <c r="E55" s="52"/>
      <c r="F55" s="52"/>
      <c r="G55" s="52"/>
      <c r="H55" s="51"/>
      <c r="I55" s="49"/>
      <c r="J55" s="14" t="str">
        <f t="shared" ref="J55:N55" si="131">IF(C55="","", LOOKUP(C55, $D$160:$D$223, E$160:E$223))</f>
        <v/>
      </c>
      <c r="K55" s="14" t="str">
        <f t="shared" si="131"/>
        <v/>
      </c>
      <c r="L55" s="14" t="str">
        <f t="shared" si="131"/>
        <v/>
      </c>
      <c r="M55" s="14" t="str">
        <f t="shared" si="131"/>
        <v/>
      </c>
      <c r="N55" s="14" t="str">
        <f t="shared" si="131"/>
        <v/>
      </c>
      <c r="O55" s="14" t="str">
        <f t="shared" ref="O55:O60" si="134">if(H55=1, 1, IF(H55="", "", If(H55&gt;$K$212, $L$212, if(H55&gt;$K$211, $L$211, if(H55&gt;$K$210, $L$210, if(H55&gt;$K$209, $L$209, if(H55&gt;$K$208, $L$208, if(H55&gt;$K$206, $L$206, if(H55&gt;$K$204, $L$204, if(H55&gt;$K$202, $L$202, if(H55&gt;$K$200, $L$200, if(H55&gt;$K$198, $L$198, if(H55&gt;$K$194, $L$194, if(H55&gt;$K$190, $L$190, if(H55&gt;$K$186, $L$186, if(H55&gt;$K$182, $L$182, if(H55&gt;$K$178, $L$178, $L$178)))))))))))))))))</f>
        <v/>
      </c>
      <c r="P55" s="14" t="str">
        <f t="shared" ref="P55:P60" si="135">IF(SUM(J55:O55)=0, "", SUM(J55:O55))</f>
        <v/>
      </c>
      <c r="Q55" s="14"/>
      <c r="R55" s="14" t="str">
        <f>IF(P55="", "", IF(P56="", IF(P57="",P55-I55-1-P58, P55-I55-1-P57), P55-I55-1-P56))</f>
        <v/>
      </c>
      <c r="S55" s="14"/>
      <c r="T55" s="54" t="s">
        <v>33</v>
      </c>
      <c r="U55" s="52"/>
      <c r="V55" s="51"/>
      <c r="W55" s="57"/>
      <c r="X55" s="54"/>
      <c r="Y55" s="57"/>
      <c r="Z55" s="54">
        <v>265.0</v>
      </c>
      <c r="AA55" s="51"/>
      <c r="AB55" s="57"/>
      <c r="AC55" s="14" t="str">
        <f t="shared" ref="AC55:AG55" si="132">IF(V55="","", LOOKUP(V55, $D$160:$D$223, E$160:E$223))</f>
        <v/>
      </c>
      <c r="AD55" s="14" t="str">
        <f t="shared" si="132"/>
        <v/>
      </c>
      <c r="AE55" s="14" t="str">
        <f t="shared" si="132"/>
        <v/>
      </c>
      <c r="AF55" s="14" t="str">
        <f t="shared" si="132"/>
        <v/>
      </c>
      <c r="AG55" s="14">
        <f t="shared" si="132"/>
        <v>4.03</v>
      </c>
      <c r="AH55" s="14" t="str">
        <f t="shared" si="112"/>
        <v/>
      </c>
      <c r="AI55" s="14">
        <f t="shared" si="113"/>
        <v>4.03</v>
      </c>
      <c r="AJ55" s="14"/>
      <c r="AK55" s="14">
        <f t="shared" ref="AK55:AK57" si="137">IF(AI55="", "", IF(AI56="", AI55-AB55-1-AI57, AI55-AB55-1-AI56))</f>
        <v>-0.75</v>
      </c>
    </row>
    <row r="56" ht="12.75" customHeight="1">
      <c r="A56" s="54" t="s">
        <v>33</v>
      </c>
      <c r="B56" s="52"/>
      <c r="C56" s="51"/>
      <c r="D56" s="57"/>
      <c r="E56" s="54"/>
      <c r="F56" s="57"/>
      <c r="G56" s="57"/>
      <c r="H56" s="51"/>
      <c r="I56" s="57"/>
      <c r="J56" s="14" t="str">
        <f t="shared" ref="J56:N56" si="133">IF(C56="","", LOOKUP(C56, $D$160:$D$223, E$160:E$223))</f>
        <v/>
      </c>
      <c r="K56" s="14" t="str">
        <f t="shared" si="133"/>
        <v/>
      </c>
      <c r="L56" s="14" t="str">
        <f t="shared" si="133"/>
        <v/>
      </c>
      <c r="M56" s="14" t="str">
        <f t="shared" si="133"/>
        <v/>
      </c>
      <c r="N56" s="14" t="str">
        <f t="shared" si="133"/>
        <v/>
      </c>
      <c r="O56" s="14" t="str">
        <f t="shared" si="134"/>
        <v/>
      </c>
      <c r="P56" s="14" t="str">
        <f t="shared" si="135"/>
        <v/>
      </c>
      <c r="Q56" s="14"/>
      <c r="R56" s="14" t="str">
        <f t="shared" ref="R56:R58" si="139">IF(P56="", "", IF(P57="", P56-I56-1-P58, P56-I56-1-P57))</f>
        <v/>
      </c>
      <c r="S56" s="14"/>
      <c r="U56" s="52"/>
      <c r="V56" s="57"/>
      <c r="W56" s="54"/>
      <c r="X56" s="54"/>
      <c r="Y56" s="57"/>
      <c r="Z56" s="54">
        <v>123.0</v>
      </c>
      <c r="AA56" s="51"/>
      <c r="AB56" s="57"/>
      <c r="AC56" s="14" t="str">
        <f t="shared" ref="AC56:AG56" si="136">IF(V56="","", LOOKUP(V56, $D$160:$D$223, E$160:E$223))</f>
        <v/>
      </c>
      <c r="AD56" s="14" t="str">
        <f t="shared" si="136"/>
        <v/>
      </c>
      <c r="AE56" s="14" t="str">
        <f t="shared" si="136"/>
        <v/>
      </c>
      <c r="AF56" s="14" t="str">
        <f t="shared" si="136"/>
        <v/>
      </c>
      <c r="AG56" s="14">
        <f t="shared" si="136"/>
        <v>3.78</v>
      </c>
      <c r="AH56" s="14" t="str">
        <f t="shared" si="112"/>
        <v/>
      </c>
      <c r="AI56" s="14">
        <f t="shared" si="113"/>
        <v>3.78</v>
      </c>
      <c r="AJ56" s="14"/>
      <c r="AK56" s="14">
        <f t="shared" si="137"/>
        <v>0.91</v>
      </c>
    </row>
    <row r="57" ht="12.75" customHeight="1">
      <c r="B57" s="52"/>
      <c r="C57" s="57"/>
      <c r="D57" s="57"/>
      <c r="E57" s="54"/>
      <c r="F57" s="57"/>
      <c r="G57" s="54"/>
      <c r="H57" s="51"/>
      <c r="I57" s="57"/>
      <c r="J57" s="14" t="str">
        <f t="shared" ref="J57:N57" si="138">IF(C57="","", LOOKUP(C57, $D$160:$D$223, E$160:E$223))</f>
        <v/>
      </c>
      <c r="K57" s="14" t="str">
        <f t="shared" si="138"/>
        <v/>
      </c>
      <c r="L57" s="14" t="str">
        <f t="shared" si="138"/>
        <v/>
      </c>
      <c r="M57" s="14" t="str">
        <f t="shared" si="138"/>
        <v/>
      </c>
      <c r="N57" s="14" t="str">
        <f t="shared" si="138"/>
        <v/>
      </c>
      <c r="O57" s="14" t="str">
        <f t="shared" si="134"/>
        <v/>
      </c>
      <c r="P57" s="14" t="str">
        <f t="shared" si="135"/>
        <v/>
      </c>
      <c r="Q57" s="14"/>
      <c r="R57" s="14" t="str">
        <f t="shared" si="139"/>
        <v/>
      </c>
      <c r="S57" s="14"/>
      <c r="T57" s="55" t="s">
        <v>35</v>
      </c>
      <c r="U57" s="52"/>
      <c r="V57" s="51"/>
      <c r="W57" s="55"/>
      <c r="X57" s="55"/>
      <c r="Y57" s="55"/>
      <c r="Z57" s="58"/>
      <c r="AA57" s="52"/>
      <c r="AB57" s="58"/>
      <c r="AC57" s="14" t="str">
        <f t="shared" ref="AC57:AG57" si="140">IF(V57="","", LOOKUP(V57, $D$160:$D$223, E$160:E$223))</f>
        <v/>
      </c>
      <c r="AD57" s="14" t="str">
        <f t="shared" si="140"/>
        <v/>
      </c>
      <c r="AE57" s="14" t="str">
        <f t="shared" si="140"/>
        <v/>
      </c>
      <c r="AF57" s="14" t="str">
        <f t="shared" si="140"/>
        <v/>
      </c>
      <c r="AG57" s="14" t="str">
        <f t="shared" si="140"/>
        <v/>
      </c>
      <c r="AH57" s="14" t="str">
        <f t="shared" si="112"/>
        <v/>
      </c>
      <c r="AI57" s="14" t="str">
        <f t="shared" si="113"/>
        <v/>
      </c>
      <c r="AJ57" s="14"/>
      <c r="AK57" s="14" t="str">
        <f t="shared" si="137"/>
        <v/>
      </c>
    </row>
    <row r="58" ht="12.75" customHeight="1">
      <c r="A58" s="55" t="s">
        <v>35</v>
      </c>
      <c r="B58" s="52"/>
      <c r="C58" s="51"/>
      <c r="D58" s="55"/>
      <c r="E58" s="55"/>
      <c r="F58" s="55"/>
      <c r="G58" s="58"/>
      <c r="H58" s="52"/>
      <c r="I58" s="58"/>
      <c r="J58" s="14" t="str">
        <f t="shared" ref="J58:N58" si="141">IF(C58="","", LOOKUP(C58, $D$160:$D$223, E$160:E$223))</f>
        <v/>
      </c>
      <c r="K58" s="14" t="str">
        <f t="shared" si="141"/>
        <v/>
      </c>
      <c r="L58" s="14" t="str">
        <f t="shared" si="141"/>
        <v/>
      </c>
      <c r="M58" s="14" t="str">
        <f t="shared" si="141"/>
        <v/>
      </c>
      <c r="N58" s="14" t="str">
        <f t="shared" si="141"/>
        <v/>
      </c>
      <c r="O58" s="14" t="str">
        <f t="shared" si="134"/>
        <v/>
      </c>
      <c r="P58" s="14" t="str">
        <f t="shared" si="135"/>
        <v/>
      </c>
      <c r="Q58" s="14"/>
      <c r="R58" s="14" t="str">
        <f t="shared" si="139"/>
        <v/>
      </c>
      <c r="S58" s="14"/>
      <c r="T58" s="56" t="s">
        <v>22</v>
      </c>
      <c r="U58" s="52"/>
      <c r="V58" s="51"/>
      <c r="W58" s="51"/>
      <c r="X58" s="51"/>
      <c r="Y58" s="51"/>
      <c r="Z58" s="51"/>
      <c r="AA58" s="56">
        <v>30.0</v>
      </c>
      <c r="AB58" s="59"/>
      <c r="AC58" s="14" t="str">
        <f t="shared" ref="AC58:AG58" si="142">IF(V58="","", LOOKUP(V58, $D$160:$D$223, E$160:E$223))</f>
        <v/>
      </c>
      <c r="AD58" s="14" t="str">
        <f t="shared" si="142"/>
        <v/>
      </c>
      <c r="AE58" s="14" t="str">
        <f t="shared" si="142"/>
        <v/>
      </c>
      <c r="AF58" s="14" t="str">
        <f t="shared" si="142"/>
        <v/>
      </c>
      <c r="AG58" s="14" t="str">
        <f t="shared" si="142"/>
        <v/>
      </c>
      <c r="AH58" s="14">
        <f t="shared" si="112"/>
        <v>1.87</v>
      </c>
      <c r="AI58" s="14">
        <f t="shared" si="113"/>
        <v>1.87</v>
      </c>
      <c r="AJ58" s="14"/>
      <c r="AK58" s="14">
        <f t="shared" ref="AK58:AK60" si="145">IF(AI58="", "", AI58-AB58-1-AI59)</f>
        <v>-0.69</v>
      </c>
    </row>
    <row r="59" ht="12.75" customHeight="1">
      <c r="A59" s="56" t="s">
        <v>22</v>
      </c>
      <c r="B59" s="52"/>
      <c r="C59" s="51"/>
      <c r="D59" s="51"/>
      <c r="E59" s="51"/>
      <c r="F59" s="51"/>
      <c r="G59" s="51"/>
      <c r="H59" s="56"/>
      <c r="I59" s="59"/>
      <c r="J59" s="14" t="str">
        <f t="shared" ref="J59:N59" si="143">IF(C59="","", LOOKUP(C59, $D$160:$D$223, E$160:E$223))</f>
        <v/>
      </c>
      <c r="K59" s="14" t="str">
        <f t="shared" si="143"/>
        <v/>
      </c>
      <c r="L59" s="14" t="str">
        <f t="shared" si="143"/>
        <v/>
      </c>
      <c r="M59" s="14" t="str">
        <f t="shared" si="143"/>
        <v/>
      </c>
      <c r="N59" s="14" t="str">
        <f t="shared" si="143"/>
        <v/>
      </c>
      <c r="O59" s="14" t="str">
        <f t="shared" si="134"/>
        <v/>
      </c>
      <c r="P59" s="14" t="str">
        <f t="shared" si="135"/>
        <v/>
      </c>
      <c r="Q59" s="14"/>
      <c r="R59" s="14" t="str">
        <f t="shared" ref="R59:R60" si="147">IF(P59="", "", P59-I59-1-P60)</f>
        <v/>
      </c>
      <c r="S59" s="14"/>
      <c r="T59" s="14"/>
      <c r="U59" s="52"/>
      <c r="V59" s="51"/>
      <c r="W59" s="51"/>
      <c r="X59" s="51"/>
      <c r="Y59" s="51"/>
      <c r="Z59" s="51"/>
      <c r="AA59" s="56">
        <v>10.0</v>
      </c>
      <c r="AB59" s="61">
        <v>1.0</v>
      </c>
      <c r="AC59" s="14" t="str">
        <f t="shared" ref="AC59:AG59" si="144">IF(V59="","", LOOKUP(V59, $D$160:$D$223, E$160:E$223))</f>
        <v/>
      </c>
      <c r="AD59" s="14" t="str">
        <f t="shared" si="144"/>
        <v/>
      </c>
      <c r="AE59" s="14" t="str">
        <f t="shared" si="144"/>
        <v/>
      </c>
      <c r="AF59" s="14" t="str">
        <f t="shared" si="144"/>
        <v/>
      </c>
      <c r="AG59" s="14" t="str">
        <f t="shared" si="144"/>
        <v/>
      </c>
      <c r="AH59" s="14">
        <f t="shared" si="112"/>
        <v>1.56</v>
      </c>
      <c r="AI59" s="14">
        <f t="shared" si="113"/>
        <v>1.56</v>
      </c>
      <c r="AJ59" s="14"/>
      <c r="AK59" s="14">
        <f t="shared" si="145"/>
        <v>-0.44</v>
      </c>
    </row>
    <row r="60" ht="12.75" customHeight="1">
      <c r="A60" s="14"/>
      <c r="B60" s="52"/>
      <c r="C60" s="51"/>
      <c r="D60" s="51"/>
      <c r="E60" s="51"/>
      <c r="F60" s="51"/>
      <c r="G60" s="51"/>
      <c r="H60" s="56"/>
      <c r="I60" s="60"/>
      <c r="J60" s="14" t="str">
        <f t="shared" ref="J60:N60" si="146">IF(C60="","", LOOKUP(C60, $D$160:$D$223, E$160:E$223))</f>
        <v/>
      </c>
      <c r="K60" s="14" t="str">
        <f t="shared" si="146"/>
        <v/>
      </c>
      <c r="L60" s="14" t="str">
        <f t="shared" si="146"/>
        <v/>
      </c>
      <c r="M60" s="14" t="str">
        <f t="shared" si="146"/>
        <v/>
      </c>
      <c r="N60" s="14" t="str">
        <f t="shared" si="146"/>
        <v/>
      </c>
      <c r="O60" s="14" t="str">
        <f t="shared" si="134"/>
        <v/>
      </c>
      <c r="P60" s="14" t="str">
        <f t="shared" si="135"/>
        <v/>
      </c>
      <c r="Q60" s="14"/>
      <c r="R60" s="14" t="str">
        <f t="shared" si="147"/>
        <v/>
      </c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 t="str">
        <f t="shared" ref="AC60:AG60" si="148">IF(V60="","", LOOKUP(V60, $D$160:$D$223, E$160:E$223))</f>
        <v/>
      </c>
      <c r="AD60" s="14" t="str">
        <f t="shared" si="148"/>
        <v/>
      </c>
      <c r="AE60" s="14" t="str">
        <f t="shared" si="148"/>
        <v/>
      </c>
      <c r="AF60" s="14" t="str">
        <f t="shared" si="148"/>
        <v/>
      </c>
      <c r="AG60" s="14" t="str">
        <f t="shared" si="148"/>
        <v/>
      </c>
      <c r="AH60" s="14" t="str">
        <f t="shared" si="112"/>
        <v/>
      </c>
      <c r="AI60" s="14" t="str">
        <f t="shared" si="113"/>
        <v/>
      </c>
      <c r="AJ60" s="14"/>
      <c r="AK60" s="14" t="str">
        <f t="shared" si="145"/>
        <v/>
      </c>
    </row>
    <row r="61" ht="12.75" customHeight="1">
      <c r="A61" s="14"/>
      <c r="B61" s="47"/>
      <c r="C61" s="47" t="s">
        <v>12</v>
      </c>
      <c r="D61" s="47" t="s">
        <v>13</v>
      </c>
      <c r="E61" s="47" t="s">
        <v>14</v>
      </c>
      <c r="F61" s="47" t="s">
        <v>15</v>
      </c>
      <c r="G61" s="47" t="s">
        <v>16</v>
      </c>
      <c r="H61" s="47" t="s">
        <v>17</v>
      </c>
      <c r="I61" s="47" t="s">
        <v>18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49" t="s">
        <v>19</v>
      </c>
      <c r="U61" s="80">
        <v>17.0</v>
      </c>
      <c r="V61" s="50">
        <v>409.0</v>
      </c>
      <c r="W61" s="51"/>
      <c r="X61" s="52"/>
      <c r="Y61" s="52"/>
      <c r="Z61" s="52"/>
      <c r="AA61" s="51"/>
      <c r="AB61" s="53"/>
      <c r="AC61" s="14">
        <f t="shared" ref="AC61:AG61" si="149">IF(V61="","", LOOKUP(V61, $D$160:$D$223, E$160:E$223))</f>
        <v>3.99</v>
      </c>
      <c r="AD61" s="14" t="str">
        <f t="shared" si="149"/>
        <v/>
      </c>
      <c r="AE61" s="14" t="str">
        <f t="shared" si="149"/>
        <v/>
      </c>
      <c r="AF61" s="14" t="str">
        <f t="shared" si="149"/>
        <v/>
      </c>
      <c r="AG61" s="14" t="str">
        <f t="shared" si="149"/>
        <v/>
      </c>
      <c r="AH61" s="14" t="str">
        <f t="shared" si="112"/>
        <v/>
      </c>
      <c r="AI61" s="14">
        <f t="shared" si="113"/>
        <v>3.99</v>
      </c>
      <c r="AJ61" s="14"/>
      <c r="AK61" s="14">
        <f>IF(AI61="", "", IF(AI62="", IF(AI63="",AI61-AB61-1-AI64, AI61-AB61-1-AI63), AI61-AB61-1-AI62))</f>
        <v>-0.81</v>
      </c>
    </row>
    <row r="62" ht="12.75" customHeight="1">
      <c r="A62" s="49" t="s">
        <v>19</v>
      </c>
      <c r="B62" s="80">
        <v>8.0</v>
      </c>
      <c r="C62" s="50"/>
      <c r="D62" s="51"/>
      <c r="E62" s="52"/>
      <c r="F62" s="52"/>
      <c r="G62" s="52"/>
      <c r="H62" s="51"/>
      <c r="I62" s="53"/>
      <c r="J62" s="14" t="str">
        <f t="shared" ref="J62:N62" si="150">IF(C62="","", LOOKUP(C62, $D$160:$D$223, E$160:E$223))</f>
        <v/>
      </c>
      <c r="K62" s="14" t="str">
        <f t="shared" si="150"/>
        <v/>
      </c>
      <c r="L62" s="14" t="str">
        <f t="shared" si="150"/>
        <v/>
      </c>
      <c r="M62" s="14" t="str">
        <f t="shared" si="150"/>
        <v/>
      </c>
      <c r="N62" s="14" t="str">
        <f t="shared" si="150"/>
        <v/>
      </c>
      <c r="O62" s="14" t="str">
        <f t="shared" ref="O62:O67" si="153">if(H62=1, 1, IF(H62="", "", If(H62&gt;$K$212, $L$212, if(H62&gt;$K$211, $L$211, if(H62&gt;$K$210, $L$210, if(H62&gt;$K$209, $L$209, if(H62&gt;$K$208, $L$208, if(H62&gt;$K$206, $L$206, if(H62&gt;$K$204, $L$204, if(H62&gt;$K$202, $L$202, if(H62&gt;$K$200, $L$200, if(H62&gt;$K$198, $L$198, if(H62&gt;$K$194, $L$194, if(H62&gt;$K$190, $L$190, if(H62&gt;$K$186, $L$186, if(H62&gt;$K$182, $L$182, if(H62&gt;$K$178, $L$178, $L$178)))))))))))))))))</f>
        <v/>
      </c>
      <c r="P62" s="14" t="str">
        <f t="shared" ref="P62:P67" si="154">IF(SUM(J62:O62)=0, "", SUM(J62:O62))</f>
        <v/>
      </c>
      <c r="Q62" s="14"/>
      <c r="R62" s="14" t="str">
        <f>IF(P62="", "", IF(P63="", IF(P64="",P62-I62-1-P65, P62-I62-1-P64), P62-I62-1-P63))</f>
        <v/>
      </c>
      <c r="S62" s="14"/>
      <c r="T62" s="54" t="s">
        <v>33</v>
      </c>
      <c r="U62" s="52"/>
      <c r="V62" s="51"/>
      <c r="W62" s="57"/>
      <c r="X62" s="54"/>
      <c r="Y62" s="57"/>
      <c r="Z62" s="57"/>
      <c r="AA62" s="51"/>
      <c r="AB62" s="57"/>
      <c r="AC62" s="14" t="str">
        <f t="shared" ref="AC62:AG62" si="151">IF(V62="","", LOOKUP(V62, $D$160:$D$223, E$160:E$223))</f>
        <v/>
      </c>
      <c r="AD62" s="14" t="str">
        <f t="shared" si="151"/>
        <v/>
      </c>
      <c r="AE62" s="14" t="str">
        <f t="shared" si="151"/>
        <v/>
      </c>
      <c r="AF62" s="14" t="str">
        <f t="shared" si="151"/>
        <v/>
      </c>
      <c r="AG62" s="14" t="str">
        <f t="shared" si="151"/>
        <v/>
      </c>
      <c r="AH62" s="14" t="str">
        <f t="shared" si="112"/>
        <v/>
      </c>
      <c r="AI62" s="14" t="str">
        <f t="shared" si="113"/>
        <v/>
      </c>
      <c r="AJ62" s="14"/>
      <c r="AK62" s="14" t="str">
        <f t="shared" ref="AK62:AK64" si="156">IF(AI62="", "", IF(AI63="", AI62-AB62-1-AI64, AI62-AB62-1-AI63))</f>
        <v/>
      </c>
    </row>
    <row r="63" ht="12.75" customHeight="1">
      <c r="A63" s="54" t="s">
        <v>33</v>
      </c>
      <c r="B63" s="52"/>
      <c r="C63" s="51"/>
      <c r="D63" s="57"/>
      <c r="E63" s="54"/>
      <c r="F63" s="57"/>
      <c r="G63" s="57"/>
      <c r="H63" s="51"/>
      <c r="I63" s="57"/>
      <c r="J63" s="14" t="str">
        <f t="shared" ref="J63:N63" si="152">IF(C63="","", LOOKUP(C63, $D$160:$D$223, E$160:E$223))</f>
        <v/>
      </c>
      <c r="K63" s="14" t="str">
        <f t="shared" si="152"/>
        <v/>
      </c>
      <c r="L63" s="14" t="str">
        <f t="shared" si="152"/>
        <v/>
      </c>
      <c r="M63" s="14" t="str">
        <f t="shared" si="152"/>
        <v/>
      </c>
      <c r="N63" s="14" t="str">
        <f t="shared" si="152"/>
        <v/>
      </c>
      <c r="O63" s="14" t="str">
        <f t="shared" si="153"/>
        <v/>
      </c>
      <c r="P63" s="14" t="str">
        <f t="shared" si="154"/>
        <v/>
      </c>
      <c r="Q63" s="14"/>
      <c r="R63" s="14" t="str">
        <f t="shared" ref="R63:R65" si="158">IF(P63="", "", IF(P64="", P63-I63-1-P65, P63-I63-1-P64))</f>
        <v/>
      </c>
      <c r="S63" s="14"/>
      <c r="U63" s="52"/>
      <c r="V63" s="57"/>
      <c r="W63" s="54"/>
      <c r="X63" s="54"/>
      <c r="Y63" s="57"/>
      <c r="Z63" s="54">
        <v>145.0</v>
      </c>
      <c r="AA63" s="51"/>
      <c r="AB63" s="57"/>
      <c r="AC63" s="14" t="str">
        <f t="shared" ref="AC63:AG63" si="155">IF(V63="","", LOOKUP(V63, $D$160:$D$223, E$160:E$223))</f>
        <v/>
      </c>
      <c r="AD63" s="14" t="str">
        <f t="shared" si="155"/>
        <v/>
      </c>
      <c r="AE63" s="14" t="str">
        <f t="shared" si="155"/>
        <v/>
      </c>
      <c r="AF63" s="14" t="str">
        <f t="shared" si="155"/>
        <v/>
      </c>
      <c r="AG63" s="14">
        <f t="shared" si="155"/>
        <v>3.8</v>
      </c>
      <c r="AH63" s="14" t="str">
        <f t="shared" si="112"/>
        <v/>
      </c>
      <c r="AI63" s="14">
        <f t="shared" si="113"/>
        <v>3.8</v>
      </c>
      <c r="AJ63" s="14"/>
      <c r="AK63" s="14">
        <f t="shared" si="156"/>
        <v>0.74</v>
      </c>
    </row>
    <row r="64" ht="12.75" customHeight="1">
      <c r="B64" s="52"/>
      <c r="C64" s="54"/>
      <c r="D64" s="57"/>
      <c r="E64" s="54"/>
      <c r="F64" s="57"/>
      <c r="G64" s="57"/>
      <c r="H64" s="51"/>
      <c r="I64" s="57"/>
      <c r="J64" s="14" t="str">
        <f t="shared" ref="J64:N64" si="157">IF(C64="","", LOOKUP(C64, $D$160:$D$223, E$160:E$223))</f>
        <v/>
      </c>
      <c r="K64" s="14" t="str">
        <f t="shared" si="157"/>
        <v/>
      </c>
      <c r="L64" s="14" t="str">
        <f t="shared" si="157"/>
        <v/>
      </c>
      <c r="M64" s="14" t="str">
        <f t="shared" si="157"/>
        <v/>
      </c>
      <c r="N64" s="14" t="str">
        <f t="shared" si="157"/>
        <v/>
      </c>
      <c r="O64" s="14" t="str">
        <f t="shared" si="153"/>
        <v/>
      </c>
      <c r="P64" s="14" t="str">
        <f t="shared" si="154"/>
        <v/>
      </c>
      <c r="Q64" s="14"/>
      <c r="R64" s="14" t="str">
        <f t="shared" si="158"/>
        <v/>
      </c>
      <c r="S64" s="14"/>
      <c r="T64" s="55" t="s">
        <v>35</v>
      </c>
      <c r="U64" s="52"/>
      <c r="V64" s="51"/>
      <c r="W64" s="55"/>
      <c r="X64" s="55"/>
      <c r="Y64" s="55"/>
      <c r="Z64" s="58"/>
      <c r="AA64" s="52"/>
      <c r="AB64" s="58"/>
      <c r="AC64" s="14" t="str">
        <f t="shared" ref="AC64:AG64" si="159">IF(V64="","", LOOKUP(V64, $D$160:$D$223, E$160:E$223))</f>
        <v/>
      </c>
      <c r="AD64" s="14" t="str">
        <f t="shared" si="159"/>
        <v/>
      </c>
      <c r="AE64" s="14" t="str">
        <f t="shared" si="159"/>
        <v/>
      </c>
      <c r="AF64" s="14" t="str">
        <f t="shared" si="159"/>
        <v/>
      </c>
      <c r="AG64" s="14" t="str">
        <f t="shared" si="159"/>
        <v/>
      </c>
      <c r="AH64" s="14" t="str">
        <f t="shared" si="112"/>
        <v/>
      </c>
      <c r="AI64" s="14" t="str">
        <f t="shared" si="113"/>
        <v/>
      </c>
      <c r="AJ64" s="14"/>
      <c r="AK64" s="14" t="str">
        <f t="shared" si="156"/>
        <v/>
      </c>
    </row>
    <row r="65" ht="12.75" customHeight="1">
      <c r="A65" s="55" t="s">
        <v>35</v>
      </c>
      <c r="B65" s="52"/>
      <c r="C65" s="51"/>
      <c r="D65" s="55"/>
      <c r="E65" s="55"/>
      <c r="F65" s="55"/>
      <c r="G65" s="58"/>
      <c r="H65" s="52"/>
      <c r="I65" s="58"/>
      <c r="J65" s="14" t="str">
        <f t="shared" ref="J65:N65" si="160">IF(C65="","", LOOKUP(C65, $D$160:$D$223, E$160:E$223))</f>
        <v/>
      </c>
      <c r="K65" s="14" t="str">
        <f t="shared" si="160"/>
        <v/>
      </c>
      <c r="L65" s="14" t="str">
        <f t="shared" si="160"/>
        <v/>
      </c>
      <c r="M65" s="14" t="str">
        <f t="shared" si="160"/>
        <v/>
      </c>
      <c r="N65" s="14" t="str">
        <f t="shared" si="160"/>
        <v/>
      </c>
      <c r="O65" s="14" t="str">
        <f t="shared" si="153"/>
        <v/>
      </c>
      <c r="P65" s="14" t="str">
        <f t="shared" si="154"/>
        <v/>
      </c>
      <c r="Q65" s="14"/>
      <c r="R65" s="14" t="str">
        <f t="shared" si="158"/>
        <v/>
      </c>
      <c r="S65" s="14"/>
      <c r="T65" s="56" t="s">
        <v>22</v>
      </c>
      <c r="U65" s="52"/>
      <c r="V65" s="51"/>
      <c r="W65" s="51"/>
      <c r="X65" s="51"/>
      <c r="Y65" s="51"/>
      <c r="Z65" s="51"/>
      <c r="AA65" s="56">
        <v>45.0</v>
      </c>
      <c r="AB65" s="59"/>
      <c r="AC65" s="14" t="str">
        <f t="shared" ref="AC65:AG65" si="161">IF(V65="","", LOOKUP(V65, $D$160:$D$223, E$160:E$223))</f>
        <v/>
      </c>
      <c r="AD65" s="14" t="str">
        <f t="shared" si="161"/>
        <v/>
      </c>
      <c r="AE65" s="14" t="str">
        <f t="shared" si="161"/>
        <v/>
      </c>
      <c r="AF65" s="14" t="str">
        <f t="shared" si="161"/>
        <v/>
      </c>
      <c r="AG65" s="14" t="str">
        <f t="shared" si="161"/>
        <v/>
      </c>
      <c r="AH65" s="14">
        <f t="shared" si="112"/>
        <v>2.06</v>
      </c>
      <c r="AI65" s="14">
        <f t="shared" si="113"/>
        <v>2.06</v>
      </c>
      <c r="AJ65" s="14"/>
      <c r="AK65" s="14">
        <f t="shared" ref="AK65:AK67" si="164">IF(AI65="", "", AI65-AB65-1-AI66)</f>
        <v>0.02</v>
      </c>
    </row>
    <row r="66" ht="12.75" customHeight="1">
      <c r="A66" s="56" t="s">
        <v>22</v>
      </c>
      <c r="B66" s="52"/>
      <c r="C66" s="51"/>
      <c r="D66" s="51"/>
      <c r="E66" s="51"/>
      <c r="F66" s="51"/>
      <c r="G66" s="51"/>
      <c r="H66" s="56"/>
      <c r="I66" s="59"/>
      <c r="J66" s="14" t="str">
        <f t="shared" ref="J66:N66" si="162">IF(C66="","", LOOKUP(C66, $D$160:$D$223, E$160:E$223))</f>
        <v/>
      </c>
      <c r="K66" s="14" t="str">
        <f t="shared" si="162"/>
        <v/>
      </c>
      <c r="L66" s="14" t="str">
        <f t="shared" si="162"/>
        <v/>
      </c>
      <c r="M66" s="14" t="str">
        <f t="shared" si="162"/>
        <v/>
      </c>
      <c r="N66" s="14" t="str">
        <f t="shared" si="162"/>
        <v/>
      </c>
      <c r="O66" s="14" t="str">
        <f t="shared" si="153"/>
        <v/>
      </c>
      <c r="P66" s="14" t="str">
        <f t="shared" si="154"/>
        <v/>
      </c>
      <c r="Q66" s="14"/>
      <c r="R66" s="14" t="str">
        <f t="shared" ref="R66:R67" si="166">IF(P66="", "", P66-I66-1-P67)</f>
        <v/>
      </c>
      <c r="S66" s="14"/>
      <c r="T66" s="14"/>
      <c r="U66" s="52"/>
      <c r="V66" s="51"/>
      <c r="W66" s="51"/>
      <c r="X66" s="51"/>
      <c r="Y66" s="51"/>
      <c r="Z66" s="51"/>
      <c r="AA66" s="56">
        <v>3.0</v>
      </c>
      <c r="AB66" s="60"/>
      <c r="AC66" s="14" t="str">
        <f t="shared" ref="AC66:AG66" si="163">IF(V66="","", LOOKUP(V66, $D$160:$D$223, E$160:E$223))</f>
        <v/>
      </c>
      <c r="AD66" s="14" t="str">
        <f t="shared" si="163"/>
        <v/>
      </c>
      <c r="AE66" s="14" t="str">
        <f t="shared" si="163"/>
        <v/>
      </c>
      <c r="AF66" s="14" t="str">
        <f t="shared" si="163"/>
        <v/>
      </c>
      <c r="AG66" s="14" t="str">
        <f t="shared" si="163"/>
        <v/>
      </c>
      <c r="AH66" s="14">
        <f t="shared" si="112"/>
        <v>1.04</v>
      </c>
      <c r="AI66" s="14">
        <f t="shared" si="113"/>
        <v>1.04</v>
      </c>
      <c r="AJ66" s="14"/>
      <c r="AK66" s="14">
        <f t="shared" si="164"/>
        <v>0.04</v>
      </c>
    </row>
    <row r="67" ht="12.75" customHeight="1">
      <c r="A67" s="14"/>
      <c r="B67" s="52"/>
      <c r="C67" s="51"/>
      <c r="D67" s="51"/>
      <c r="E67" s="51"/>
      <c r="F67" s="51"/>
      <c r="G67" s="51"/>
      <c r="H67" s="56"/>
      <c r="I67" s="60"/>
      <c r="J67" s="14" t="str">
        <f t="shared" ref="J67:N67" si="165">IF(C67="","", LOOKUP(C67, $D$160:$D$223, E$160:E$223))</f>
        <v/>
      </c>
      <c r="K67" s="14" t="str">
        <f t="shared" si="165"/>
        <v/>
      </c>
      <c r="L67" s="14" t="str">
        <f t="shared" si="165"/>
        <v/>
      </c>
      <c r="M67" s="14" t="str">
        <f t="shared" si="165"/>
        <v/>
      </c>
      <c r="N67" s="14" t="str">
        <f t="shared" si="165"/>
        <v/>
      </c>
      <c r="O67" s="14" t="str">
        <f t="shared" si="153"/>
        <v/>
      </c>
      <c r="P67" s="14" t="str">
        <f t="shared" si="154"/>
        <v/>
      </c>
      <c r="Q67" s="14"/>
      <c r="R67" s="14" t="str">
        <f t="shared" si="166"/>
        <v/>
      </c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 t="str">
        <f t="shared" ref="AC67:AG67" si="167">IF(V67="","", LOOKUP(V67, $D$160:$D$223, E$160:E$223))</f>
        <v/>
      </c>
      <c r="AD67" s="14" t="str">
        <f t="shared" si="167"/>
        <v/>
      </c>
      <c r="AE67" s="14" t="str">
        <f t="shared" si="167"/>
        <v/>
      </c>
      <c r="AF67" s="14" t="str">
        <f t="shared" si="167"/>
        <v/>
      </c>
      <c r="AG67" s="14" t="str">
        <f t="shared" si="167"/>
        <v/>
      </c>
      <c r="AH67" s="14" t="str">
        <f t="shared" si="112"/>
        <v/>
      </c>
      <c r="AI67" s="14" t="str">
        <f t="shared" si="113"/>
        <v/>
      </c>
      <c r="AJ67" s="14"/>
      <c r="AK67" s="14" t="str">
        <f t="shared" si="164"/>
        <v/>
      </c>
    </row>
    <row r="68" ht="12.75" customHeight="1">
      <c r="A68" s="14"/>
      <c r="B68" s="14"/>
      <c r="C68" s="47" t="s">
        <v>12</v>
      </c>
      <c r="D68" s="47" t="s">
        <v>13</v>
      </c>
      <c r="E68" s="47" t="s">
        <v>14</v>
      </c>
      <c r="F68" s="47" t="s">
        <v>15</v>
      </c>
      <c r="G68" s="47" t="s">
        <v>16</v>
      </c>
      <c r="H68" s="47" t="s">
        <v>17</v>
      </c>
      <c r="I68" s="47" t="s">
        <v>18</v>
      </c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49" t="s">
        <v>19</v>
      </c>
      <c r="U68" s="80">
        <v>18.0</v>
      </c>
      <c r="V68" s="50">
        <v>330.0</v>
      </c>
      <c r="W68" s="51"/>
      <c r="X68" s="52"/>
      <c r="Y68" s="52"/>
      <c r="Z68" s="52"/>
      <c r="AA68" s="51"/>
      <c r="AB68" s="49"/>
      <c r="AC68" s="14">
        <f t="shared" ref="AC68:AG68" si="168">IF(V68="","", LOOKUP(V68, $D$160:$D$223, E$160:E$223))</f>
        <v>3.79</v>
      </c>
      <c r="AD68" s="14" t="str">
        <f t="shared" si="168"/>
        <v/>
      </c>
      <c r="AE68" s="14" t="str">
        <f t="shared" si="168"/>
        <v/>
      </c>
      <c r="AF68" s="14" t="str">
        <f t="shared" si="168"/>
        <v/>
      </c>
      <c r="AG68" s="14" t="str">
        <f t="shared" si="168"/>
        <v/>
      </c>
      <c r="AH68" s="14" t="str">
        <f t="shared" si="112"/>
        <v/>
      </c>
      <c r="AI68" s="14">
        <f t="shared" si="113"/>
        <v>3.79</v>
      </c>
      <c r="AJ68" s="14"/>
      <c r="AK68" s="14">
        <f>IF(AI68="", "", IF(AI69="", IF(AI70="",AI68-AB68-1-AI71, AI68-AB68-1-AI70), AI68-AB68-1-AI69))</f>
        <v>-0.14</v>
      </c>
    </row>
    <row r="69" ht="12.75" customHeight="1">
      <c r="A69" s="49" t="s">
        <v>19</v>
      </c>
      <c r="B69" s="80">
        <v>9.0</v>
      </c>
      <c r="C69" s="50"/>
      <c r="D69" s="51"/>
      <c r="E69" s="52"/>
      <c r="F69" s="52"/>
      <c r="G69" s="52"/>
      <c r="H69" s="51"/>
      <c r="I69" s="49"/>
      <c r="J69" s="14" t="str">
        <f t="shared" ref="J69:N69" si="169">IF(C69="","", LOOKUP(C69, $D$160:$D$223, E$160:E$223))</f>
        <v/>
      </c>
      <c r="K69" s="14" t="str">
        <f t="shared" si="169"/>
        <v/>
      </c>
      <c r="L69" s="14" t="str">
        <f t="shared" si="169"/>
        <v/>
      </c>
      <c r="M69" s="14" t="str">
        <f t="shared" si="169"/>
        <v/>
      </c>
      <c r="N69" s="14" t="str">
        <f t="shared" si="169"/>
        <v/>
      </c>
      <c r="O69" s="14" t="str">
        <f t="shared" ref="O69:O74" si="172">if(H69=1, 1, IF(H69="", "", If(H69&gt;$K$212, $L$212, if(H69&gt;$K$211, $L$211, if(H69&gt;$K$210, $L$210, if(H69&gt;$K$209, $L$209, if(H69&gt;$K$208, $L$208, if(H69&gt;$K$206, $L$206, if(H69&gt;$K$204, $L$204, if(H69&gt;$K$202, $L$202, if(H69&gt;$K$200, $L$200, if(H69&gt;$K$198, $L$198, if(H69&gt;$K$194, $L$194, if(H69&gt;$K$190, $L$190, if(H69&gt;$K$186, $L$186, if(H69&gt;$K$182, $L$182, if(H69&gt;$K$178, $L$178, $L$178)))))))))))))))))</f>
        <v/>
      </c>
      <c r="P69" s="14" t="str">
        <f t="shared" ref="P69:P74" si="173">IF(SUM(J69:O69)=0, "", SUM(J69:O69))</f>
        <v/>
      </c>
      <c r="Q69" s="14"/>
      <c r="R69" s="14" t="str">
        <f>IF(P69="", "", IF(P70="", IF(P71="",P69-I69-1-P72, P69-I69-1-P71), P69-I69-1-P70))</f>
        <v/>
      </c>
      <c r="S69" s="14"/>
      <c r="T69" s="54" t="s">
        <v>33</v>
      </c>
      <c r="U69" s="52"/>
      <c r="V69" s="51"/>
      <c r="W69" s="57"/>
      <c r="X69" s="54"/>
      <c r="Y69" s="57"/>
      <c r="Z69" s="57"/>
      <c r="AA69" s="51"/>
      <c r="AB69" s="57"/>
      <c r="AC69" s="14" t="str">
        <f t="shared" ref="AC69:AG69" si="170">IF(V69="","", LOOKUP(V69, $D$160:$D$223, E$160:E$223))</f>
        <v/>
      </c>
      <c r="AD69" s="14" t="str">
        <f t="shared" si="170"/>
        <v/>
      </c>
      <c r="AE69" s="14" t="str">
        <f t="shared" si="170"/>
        <v/>
      </c>
      <c r="AF69" s="14" t="str">
        <f t="shared" si="170"/>
        <v/>
      </c>
      <c r="AG69" s="14" t="str">
        <f t="shared" si="170"/>
        <v/>
      </c>
      <c r="AH69" s="14" t="str">
        <f t="shared" si="112"/>
        <v/>
      </c>
      <c r="AI69" s="14" t="str">
        <f t="shared" si="113"/>
        <v/>
      </c>
      <c r="AJ69" s="14"/>
      <c r="AK69" s="14" t="str">
        <f t="shared" ref="AK69:AK71" si="175">IF(AI69="", "", IF(AI70="", AI69-AB69-1-AI71, AI69-AB69-1-AI70))</f>
        <v/>
      </c>
    </row>
    <row r="70" ht="12.75" customHeight="1">
      <c r="A70" s="54" t="s">
        <v>33</v>
      </c>
      <c r="B70" s="52"/>
      <c r="C70" s="51"/>
      <c r="D70" s="54"/>
      <c r="E70" s="54"/>
      <c r="F70" s="57"/>
      <c r="G70" s="57"/>
      <c r="H70" s="51"/>
      <c r="I70" s="57"/>
      <c r="J70" s="14" t="str">
        <f t="shared" ref="J70:N70" si="171">IF(C70="","", LOOKUP(C70, $D$160:$D$223, E$160:E$223))</f>
        <v/>
      </c>
      <c r="K70" s="14" t="str">
        <f t="shared" si="171"/>
        <v/>
      </c>
      <c r="L70" s="14" t="str">
        <f t="shared" si="171"/>
        <v/>
      </c>
      <c r="M70" s="14" t="str">
        <f t="shared" si="171"/>
        <v/>
      </c>
      <c r="N70" s="14" t="str">
        <f t="shared" si="171"/>
        <v/>
      </c>
      <c r="O70" s="14" t="str">
        <f t="shared" si="172"/>
        <v/>
      </c>
      <c r="P70" s="14" t="str">
        <f t="shared" si="173"/>
        <v/>
      </c>
      <c r="Q70" s="14"/>
      <c r="R70" s="14" t="str">
        <f t="shared" ref="R70:R72" si="177">IF(P70="", "", IF(P71="", P70-I70-1-P72, P70-I70-1-P71))</f>
        <v/>
      </c>
      <c r="S70" s="14"/>
      <c r="U70" s="52"/>
      <c r="V70" s="54">
        <v>105.0</v>
      </c>
      <c r="W70" s="54"/>
      <c r="X70" s="54"/>
      <c r="Y70" s="57"/>
      <c r="Z70" s="57"/>
      <c r="AA70" s="51"/>
      <c r="AB70" s="57"/>
      <c r="AC70" s="14">
        <f t="shared" ref="AC70:AG70" si="174">IF(V70="","", LOOKUP(V70, $D$160:$D$223, E$160:E$223))</f>
        <v>2.93</v>
      </c>
      <c r="AD70" s="14" t="str">
        <f t="shared" si="174"/>
        <v/>
      </c>
      <c r="AE70" s="14" t="str">
        <f t="shared" si="174"/>
        <v/>
      </c>
      <c r="AF70" s="14" t="str">
        <f t="shared" si="174"/>
        <v/>
      </c>
      <c r="AG70" s="14" t="str">
        <f t="shared" si="174"/>
        <v/>
      </c>
      <c r="AH70" s="14" t="str">
        <f t="shared" si="112"/>
        <v/>
      </c>
      <c r="AI70" s="14">
        <f t="shared" si="113"/>
        <v>2.93</v>
      </c>
      <c r="AJ70" s="14"/>
      <c r="AK70" s="14">
        <f t="shared" si="175"/>
        <v>-0.76</v>
      </c>
    </row>
    <row r="71" ht="12.75" customHeight="1">
      <c r="B71" s="52"/>
      <c r="C71" s="57"/>
      <c r="D71" s="54"/>
      <c r="E71" s="54"/>
      <c r="F71" s="57"/>
      <c r="G71" s="57"/>
      <c r="H71" s="51"/>
      <c r="I71" s="57"/>
      <c r="J71" s="14" t="str">
        <f t="shared" ref="J71:N71" si="176">IF(C71="","", LOOKUP(C71, $D$160:$D$223, E$160:E$223))</f>
        <v/>
      </c>
      <c r="K71" s="14" t="str">
        <f t="shared" si="176"/>
        <v/>
      </c>
      <c r="L71" s="14" t="str">
        <f t="shared" si="176"/>
        <v/>
      </c>
      <c r="M71" s="14" t="str">
        <f t="shared" si="176"/>
        <v/>
      </c>
      <c r="N71" s="14" t="str">
        <f t="shared" si="176"/>
        <v/>
      </c>
      <c r="O71" s="14" t="str">
        <f t="shared" si="172"/>
        <v/>
      </c>
      <c r="P71" s="14" t="str">
        <f t="shared" si="173"/>
        <v/>
      </c>
      <c r="Q71" s="14"/>
      <c r="R71" s="14" t="str">
        <f t="shared" si="177"/>
        <v/>
      </c>
      <c r="S71" s="14"/>
      <c r="T71" s="55" t="s">
        <v>35</v>
      </c>
      <c r="U71" s="52"/>
      <c r="V71" s="51"/>
      <c r="W71" s="55"/>
      <c r="X71" s="55">
        <v>30.0</v>
      </c>
      <c r="Y71" s="55"/>
      <c r="Z71" s="58"/>
      <c r="AA71" s="52"/>
      <c r="AB71" s="55">
        <v>1.0</v>
      </c>
      <c r="AC71" s="14" t="str">
        <f t="shared" ref="AC71:AG71" si="178">IF(V71="","", LOOKUP(V71, $D$160:$D$223, E$160:E$223))</f>
        <v/>
      </c>
      <c r="AD71" s="14" t="str">
        <f t="shared" si="178"/>
        <v/>
      </c>
      <c r="AE71" s="14">
        <f t="shared" si="178"/>
        <v>2.69</v>
      </c>
      <c r="AF71" s="14" t="str">
        <f t="shared" si="178"/>
        <v/>
      </c>
      <c r="AG71" s="14" t="str">
        <f t="shared" si="178"/>
        <v/>
      </c>
      <c r="AH71" s="14" t="str">
        <f t="shared" si="112"/>
        <v/>
      </c>
      <c r="AI71" s="14">
        <f t="shared" si="113"/>
        <v>2.69</v>
      </c>
      <c r="AJ71" s="14"/>
      <c r="AK71" s="14">
        <f t="shared" si="175"/>
        <v>-1.09</v>
      </c>
    </row>
    <row r="72" ht="12.75" customHeight="1">
      <c r="A72" s="55" t="s">
        <v>35</v>
      </c>
      <c r="B72" s="52"/>
      <c r="C72" s="51"/>
      <c r="D72" s="55"/>
      <c r="E72" s="55"/>
      <c r="F72" s="55"/>
      <c r="G72" s="58"/>
      <c r="H72" s="52"/>
      <c r="I72" s="58"/>
      <c r="J72" s="14" t="str">
        <f t="shared" ref="J72:N72" si="179">IF(C72="","", LOOKUP(C72, $D$160:$D$223, E$160:E$223))</f>
        <v/>
      </c>
      <c r="K72" s="14" t="str">
        <f t="shared" si="179"/>
        <v/>
      </c>
      <c r="L72" s="14" t="str">
        <f t="shared" si="179"/>
        <v/>
      </c>
      <c r="M72" s="14" t="str">
        <f t="shared" si="179"/>
        <v/>
      </c>
      <c r="N72" s="14" t="str">
        <f t="shared" si="179"/>
        <v/>
      </c>
      <c r="O72" s="14" t="str">
        <f t="shared" si="172"/>
        <v/>
      </c>
      <c r="P72" s="14" t="str">
        <f t="shared" si="173"/>
        <v/>
      </c>
      <c r="Q72" s="14"/>
      <c r="R72" s="14" t="str">
        <f t="shared" si="177"/>
        <v/>
      </c>
      <c r="S72" s="14"/>
      <c r="T72" s="56" t="s">
        <v>22</v>
      </c>
      <c r="U72" s="52"/>
      <c r="V72" s="51"/>
      <c r="W72" s="51"/>
      <c r="X72" s="51"/>
      <c r="Y72" s="51"/>
      <c r="Z72" s="51"/>
      <c r="AA72" s="56">
        <v>20.0</v>
      </c>
      <c r="AB72" s="59"/>
      <c r="AC72" s="14" t="str">
        <f t="shared" ref="AC72:AG72" si="180">IF(V72="","", LOOKUP(V72, $D$160:$D$223, E$160:E$223))</f>
        <v/>
      </c>
      <c r="AD72" s="14" t="str">
        <f t="shared" si="180"/>
        <v/>
      </c>
      <c r="AE72" s="14" t="str">
        <f t="shared" si="180"/>
        <v/>
      </c>
      <c r="AF72" s="14" t="str">
        <f t="shared" si="180"/>
        <v/>
      </c>
      <c r="AG72" s="14" t="str">
        <f t="shared" si="180"/>
        <v/>
      </c>
      <c r="AH72" s="14">
        <f t="shared" si="112"/>
        <v>1.78</v>
      </c>
      <c r="AI72" s="14">
        <f t="shared" si="113"/>
        <v>1.78</v>
      </c>
      <c r="AJ72" s="14"/>
      <c r="AK72" s="14">
        <f>IF(AI72="", "", AI72-AB72-1-AI73)</f>
        <v>-0.72</v>
      </c>
    </row>
    <row r="73" ht="12.75" customHeight="1">
      <c r="A73" s="56" t="s">
        <v>22</v>
      </c>
      <c r="B73" s="52"/>
      <c r="C73" s="51"/>
      <c r="D73" s="51"/>
      <c r="E73" s="51"/>
      <c r="F73" s="51"/>
      <c r="G73" s="51"/>
      <c r="H73" s="56"/>
      <c r="I73" s="59"/>
      <c r="J73" s="14" t="str">
        <f t="shared" ref="J73:N73" si="181">IF(C73="","", LOOKUP(C73, $D$160:$D$223, E$160:E$223))</f>
        <v/>
      </c>
      <c r="K73" s="14" t="str">
        <f t="shared" si="181"/>
        <v/>
      </c>
      <c r="L73" s="14" t="str">
        <f t="shared" si="181"/>
        <v/>
      </c>
      <c r="M73" s="14" t="str">
        <f t="shared" si="181"/>
        <v/>
      </c>
      <c r="N73" s="14" t="str">
        <f t="shared" si="181"/>
        <v/>
      </c>
      <c r="O73" s="14" t="str">
        <f t="shared" si="172"/>
        <v/>
      </c>
      <c r="P73" s="14" t="str">
        <f t="shared" si="173"/>
        <v/>
      </c>
      <c r="Q73" s="14"/>
      <c r="R73" s="14" t="str">
        <f>IF(P73="", "", P73-I73-1-P74)</f>
        <v/>
      </c>
      <c r="S73" s="14"/>
      <c r="T73" s="14"/>
      <c r="U73" s="52"/>
      <c r="V73" s="51"/>
      <c r="W73" s="51"/>
      <c r="X73" s="51"/>
      <c r="Y73" s="51"/>
      <c r="Z73" s="51"/>
      <c r="AA73" s="56">
        <v>9.0</v>
      </c>
      <c r="AB73" s="60"/>
      <c r="AC73" s="14" t="str">
        <f t="shared" ref="AC73:AG73" si="182">IF(V73="","", LOOKUP(V73, $D$160:$D$223, E$160:E$223))</f>
        <v/>
      </c>
      <c r="AD73" s="14" t="str">
        <f t="shared" si="182"/>
        <v/>
      </c>
      <c r="AE73" s="14" t="str">
        <f t="shared" si="182"/>
        <v/>
      </c>
      <c r="AF73" s="14" t="str">
        <f t="shared" si="182"/>
        <v/>
      </c>
      <c r="AG73" s="14" t="str">
        <f t="shared" si="182"/>
        <v/>
      </c>
      <c r="AH73" s="67">
        <f t="shared" si="112"/>
        <v>1.5</v>
      </c>
      <c r="AI73" s="14">
        <f t="shared" si="113"/>
        <v>1.5</v>
      </c>
      <c r="AJ73" s="14"/>
      <c r="AK73" s="14">
        <f>IF(AI73="", "", AI73-AB73-1-P138)</f>
        <v>0.5</v>
      </c>
    </row>
    <row r="74" ht="12.75" customHeight="1">
      <c r="A74" s="14"/>
      <c r="B74" s="52"/>
      <c r="C74" s="51"/>
      <c r="D74" s="51"/>
      <c r="E74" s="51"/>
      <c r="F74" s="51"/>
      <c r="G74" s="51"/>
      <c r="H74" s="56"/>
      <c r="I74" s="60"/>
      <c r="J74" s="14" t="str">
        <f t="shared" ref="J74:N74" si="183">IF(C74="","", LOOKUP(C74, $D$160:$D$223, E$160:E$223))</f>
        <v/>
      </c>
      <c r="K74" s="14" t="str">
        <f t="shared" si="183"/>
        <v/>
      </c>
      <c r="L74" s="14" t="str">
        <f t="shared" si="183"/>
        <v/>
      </c>
      <c r="M74" s="14" t="str">
        <f t="shared" si="183"/>
        <v/>
      </c>
      <c r="N74" s="14" t="str">
        <f t="shared" si="183"/>
        <v/>
      </c>
      <c r="O74" s="14" t="str">
        <f t="shared" si="172"/>
        <v/>
      </c>
      <c r="P74" s="14" t="str">
        <f t="shared" si="173"/>
        <v/>
      </c>
      <c r="Q74" s="14"/>
      <c r="R74" s="14" t="str">
        <f>IF(P74="", "", P74-I74-1-AN11)</f>
        <v/>
      </c>
      <c r="S74" s="14"/>
      <c r="T74" s="47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 ht="12.75" customHeight="1">
      <c r="S75" s="14"/>
      <c r="T75" s="47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 ht="12.75" customHeight="1">
      <c r="S76" s="14"/>
      <c r="T76" s="47"/>
      <c r="U76" s="47"/>
      <c r="V76" s="47"/>
      <c r="W76" s="47"/>
      <c r="X76" s="47"/>
      <c r="Y76" s="47"/>
      <c r="Z76" s="47"/>
      <c r="AA76" s="47"/>
      <c r="AB76" s="47"/>
      <c r="AC76" s="14"/>
      <c r="AD76" s="47"/>
      <c r="AE76" s="14"/>
      <c r="AF76" s="14"/>
      <c r="AG76" s="14"/>
      <c r="AH76" s="14"/>
      <c r="AI76" s="14"/>
      <c r="AJ76" s="14"/>
      <c r="AK76" s="14"/>
    </row>
    <row r="77" ht="12.75" customHeight="1">
      <c r="S77" s="14"/>
      <c r="T77" s="47"/>
      <c r="U77" s="47"/>
      <c r="V77" s="47"/>
      <c r="W77" s="47"/>
      <c r="X77" s="14"/>
      <c r="Y77" s="47"/>
      <c r="Z77" s="47"/>
      <c r="AA77" s="47"/>
      <c r="AB77" s="47"/>
      <c r="AC77" s="47"/>
      <c r="AD77" s="47"/>
      <c r="AE77" s="14"/>
      <c r="AF77" s="14"/>
      <c r="AG77" s="14"/>
      <c r="AH77" s="14"/>
      <c r="AI77" s="14"/>
      <c r="AJ77" s="14"/>
      <c r="AK77" s="14"/>
    </row>
    <row r="78" ht="12.75" customHeight="1">
      <c r="S78" s="14"/>
      <c r="T78" s="47"/>
      <c r="U78" s="47"/>
      <c r="V78" s="47"/>
      <c r="W78" s="47"/>
      <c r="X78" s="14"/>
      <c r="Y78" s="47"/>
      <c r="Z78" s="47"/>
      <c r="AA78" s="47"/>
      <c r="AB78" s="47"/>
      <c r="AC78" s="14"/>
      <c r="AD78" s="14"/>
      <c r="AE78" s="14"/>
      <c r="AF78" s="14"/>
      <c r="AG78" s="14"/>
      <c r="AH78" s="14"/>
      <c r="AI78" s="14"/>
      <c r="AJ78" s="14"/>
      <c r="AK78" s="14"/>
    </row>
    <row r="79" ht="12.75" customHeight="1">
      <c r="S79" s="14"/>
      <c r="T79" s="47"/>
      <c r="U79" s="47"/>
      <c r="V79" s="47"/>
      <c r="W79" s="47"/>
      <c r="X79" s="47"/>
      <c r="Y79" s="47"/>
      <c r="Z79" s="47"/>
      <c r="AA79" s="47"/>
      <c r="AB79" s="47"/>
      <c r="AC79" s="14"/>
      <c r="AD79" s="14"/>
      <c r="AE79" s="14"/>
      <c r="AF79" s="14"/>
      <c r="AG79" s="14"/>
      <c r="AH79" s="14"/>
      <c r="AI79" s="14"/>
      <c r="AJ79" s="14"/>
      <c r="AK79" s="14"/>
    </row>
    <row r="80" ht="12.75" customHeight="1">
      <c r="S80" s="14"/>
      <c r="T80" s="47"/>
      <c r="U80" s="47"/>
      <c r="V80" s="47"/>
      <c r="W80" s="47"/>
      <c r="X80" s="14"/>
      <c r="Y80" s="47"/>
      <c r="Z80" s="47"/>
      <c r="AA80" s="47"/>
      <c r="AB80" s="47"/>
      <c r="AC80" s="14"/>
      <c r="AD80" s="14"/>
      <c r="AE80" s="14"/>
      <c r="AF80" s="14"/>
      <c r="AG80" s="14"/>
      <c r="AH80" s="14"/>
      <c r="AI80" s="14"/>
      <c r="AJ80" s="14"/>
      <c r="AK80" s="14"/>
    </row>
    <row r="81" ht="12.75" customHeight="1">
      <c r="S81" s="14"/>
      <c r="T81" s="47"/>
      <c r="U81" s="47"/>
      <c r="V81" s="47"/>
      <c r="W81" s="47"/>
      <c r="X81" s="14"/>
      <c r="Y81" s="47"/>
      <c r="Z81" s="47"/>
      <c r="AA81" s="47"/>
      <c r="AB81" s="47"/>
      <c r="AC81" s="47"/>
      <c r="AD81" s="47"/>
      <c r="AE81" s="14"/>
      <c r="AF81" s="14"/>
      <c r="AG81" s="14"/>
      <c r="AH81" s="14"/>
      <c r="AI81" s="14"/>
      <c r="AJ81" s="14"/>
      <c r="AK81" s="14"/>
    </row>
    <row r="82" ht="12.75" customHeight="1">
      <c r="S82" s="14"/>
      <c r="T82" s="47"/>
      <c r="U82" s="47"/>
      <c r="V82" s="47"/>
      <c r="W82" s="47"/>
      <c r="X82" s="14"/>
      <c r="Y82" s="47"/>
      <c r="Z82" s="47"/>
      <c r="AA82" s="47"/>
      <c r="AB82" s="47"/>
      <c r="AC82" s="47"/>
      <c r="AD82" s="47"/>
      <c r="AE82" s="14"/>
      <c r="AF82" s="14"/>
      <c r="AG82" s="14"/>
      <c r="AH82" s="14"/>
      <c r="AI82" s="14"/>
      <c r="AJ82" s="14"/>
      <c r="AK82" s="14"/>
    </row>
    <row r="83" ht="12.75" customHeight="1">
      <c r="S83" s="14"/>
      <c r="T83" s="47"/>
      <c r="U83" s="47"/>
      <c r="V83" s="47"/>
      <c r="W83" s="47"/>
      <c r="X83" s="14"/>
      <c r="Y83" s="47"/>
      <c r="Z83" s="47"/>
      <c r="AA83" s="47"/>
      <c r="AB83" s="47"/>
      <c r="AC83" s="47"/>
      <c r="AD83" s="47"/>
      <c r="AE83" s="14"/>
      <c r="AF83" s="14"/>
      <c r="AG83" s="14"/>
      <c r="AH83" s="14"/>
      <c r="AI83" s="14"/>
      <c r="AJ83" s="14"/>
      <c r="AK83" s="14"/>
    </row>
    <row r="84" ht="12.75" customHeight="1">
      <c r="S84" s="14"/>
      <c r="T84" s="47"/>
      <c r="U84" s="47"/>
      <c r="V84" s="47"/>
      <c r="W84" s="47"/>
      <c r="X84" s="47"/>
      <c r="Y84" s="47"/>
      <c r="Z84" s="47"/>
      <c r="AA84" s="47"/>
      <c r="AB84" s="47"/>
      <c r="AC84" s="14"/>
      <c r="AD84" s="14"/>
      <c r="AE84" s="14"/>
      <c r="AF84" s="14"/>
      <c r="AG84" s="14"/>
      <c r="AH84" s="14"/>
      <c r="AI84" s="14"/>
      <c r="AJ84" s="14"/>
      <c r="AK84" s="14"/>
    </row>
    <row r="85" ht="12.75" customHeight="1">
      <c r="S85" s="14"/>
      <c r="T85" s="47"/>
      <c r="U85" s="47"/>
      <c r="V85" s="47"/>
      <c r="W85" s="47"/>
      <c r="X85" s="14"/>
      <c r="Y85" s="47"/>
      <c r="Z85" s="47"/>
      <c r="AA85" s="47"/>
      <c r="AB85" s="47"/>
      <c r="AC85" s="14"/>
      <c r="AD85" s="14"/>
      <c r="AE85" s="14"/>
      <c r="AF85" s="14"/>
      <c r="AG85" s="14"/>
      <c r="AH85" s="14"/>
      <c r="AI85" s="14"/>
      <c r="AJ85" s="14"/>
      <c r="AK85" s="14"/>
    </row>
    <row r="86" ht="12.75" customHeight="1">
      <c r="S86" s="14"/>
      <c r="T86" s="47"/>
      <c r="U86" s="47"/>
      <c r="V86" s="47"/>
      <c r="W86" s="47"/>
      <c r="X86" s="14"/>
      <c r="Y86" s="47"/>
      <c r="Z86" s="47"/>
      <c r="AA86" s="47"/>
      <c r="AB86" s="47"/>
      <c r="AC86" s="14"/>
      <c r="AD86" s="14"/>
      <c r="AE86" s="14"/>
      <c r="AF86" s="14"/>
      <c r="AG86" s="14"/>
      <c r="AH86" s="14"/>
      <c r="AI86" s="14"/>
      <c r="AJ86" s="14"/>
      <c r="AK86" s="14"/>
    </row>
    <row r="87" ht="12.75" customHeight="1">
      <c r="S87" s="14"/>
      <c r="T87" s="47"/>
      <c r="U87" s="47"/>
      <c r="V87" s="47"/>
      <c r="W87" s="47"/>
      <c r="X87" s="14"/>
      <c r="Y87" s="47"/>
      <c r="Z87" s="47"/>
      <c r="AA87" s="47"/>
      <c r="AB87" s="47"/>
      <c r="AC87" s="47"/>
      <c r="AD87" s="47"/>
      <c r="AE87" s="14"/>
      <c r="AF87" s="14"/>
      <c r="AG87" s="14"/>
      <c r="AH87" s="14"/>
      <c r="AI87" s="14"/>
      <c r="AJ87" s="14"/>
      <c r="AK87" s="14"/>
    </row>
    <row r="88" ht="12.75" customHeight="1">
      <c r="S88" s="14"/>
      <c r="T88" s="47"/>
      <c r="U88" s="47"/>
      <c r="V88" s="47"/>
      <c r="W88" s="47"/>
      <c r="X88" s="14"/>
      <c r="Y88" s="47"/>
      <c r="Z88" s="47"/>
      <c r="AA88" s="47"/>
      <c r="AB88" s="47"/>
      <c r="AC88" s="14"/>
      <c r="AD88" s="14"/>
      <c r="AE88" s="14"/>
      <c r="AF88" s="14"/>
      <c r="AG88" s="14"/>
      <c r="AH88" s="14"/>
      <c r="AI88" s="14"/>
      <c r="AJ88" s="14"/>
      <c r="AK88" s="14"/>
    </row>
    <row r="89" ht="12.75" customHeight="1">
      <c r="S89" s="14"/>
      <c r="T89" s="47"/>
      <c r="U89" s="47"/>
      <c r="V89" s="47"/>
      <c r="W89" s="47"/>
      <c r="X89" s="14"/>
      <c r="Y89" s="47"/>
      <c r="Z89" s="47"/>
      <c r="AA89" s="47"/>
      <c r="AB89" s="47"/>
      <c r="AC89" s="14"/>
      <c r="AD89" s="14"/>
      <c r="AE89" s="14"/>
      <c r="AF89" s="14"/>
      <c r="AG89" s="14"/>
      <c r="AH89" s="14"/>
      <c r="AI89" s="14"/>
      <c r="AJ89" s="14"/>
      <c r="AK89" s="14"/>
    </row>
    <row r="90" ht="12.75" customHeight="1">
      <c r="S90" s="14"/>
      <c r="T90" s="47"/>
      <c r="U90" s="47"/>
      <c r="V90" s="47"/>
      <c r="W90" s="47"/>
      <c r="X90" s="14"/>
      <c r="Y90" s="47"/>
      <c r="Z90" s="47"/>
      <c r="AA90" s="47"/>
      <c r="AB90" s="47"/>
      <c r="AC90" s="14"/>
      <c r="AD90" s="14"/>
      <c r="AE90" s="14"/>
      <c r="AF90" s="14"/>
      <c r="AG90" s="14"/>
      <c r="AH90" s="14"/>
      <c r="AI90" s="14"/>
      <c r="AJ90" s="14"/>
      <c r="AK90" s="14"/>
    </row>
    <row r="91" ht="12.75" customHeight="1">
      <c r="S91" s="14"/>
      <c r="T91" s="47"/>
      <c r="U91" s="47"/>
      <c r="V91" s="47"/>
      <c r="W91" s="47"/>
      <c r="X91" s="14"/>
      <c r="Y91" s="47"/>
      <c r="Z91" s="47"/>
      <c r="AA91" s="47"/>
      <c r="AB91" s="47"/>
      <c r="AC91" s="14"/>
      <c r="AD91" s="14"/>
      <c r="AE91" s="14"/>
      <c r="AF91" s="14"/>
      <c r="AG91" s="14"/>
      <c r="AH91" s="14"/>
      <c r="AI91" s="14"/>
      <c r="AJ91" s="14"/>
      <c r="AK91" s="14"/>
    </row>
    <row r="92" ht="12.75" customHeight="1">
      <c r="S92" s="14"/>
      <c r="T92" s="47"/>
      <c r="U92" s="47"/>
      <c r="V92" s="47"/>
      <c r="W92" s="47"/>
      <c r="X92" s="14"/>
      <c r="Y92" s="47"/>
      <c r="Z92" s="47"/>
      <c r="AA92" s="47"/>
      <c r="AB92" s="47"/>
      <c r="AC92" s="14"/>
      <c r="AD92" s="14"/>
      <c r="AE92" s="14"/>
      <c r="AF92" s="14"/>
      <c r="AG92" s="14"/>
      <c r="AH92" s="14"/>
      <c r="AI92" s="14"/>
      <c r="AJ92" s="14"/>
      <c r="AK92" s="14"/>
    </row>
    <row r="93" ht="12.75" customHeight="1">
      <c r="S93" s="14"/>
      <c r="T93" s="47"/>
      <c r="U93" s="47"/>
      <c r="V93" s="47"/>
      <c r="W93" s="47"/>
      <c r="X93" s="14"/>
      <c r="Y93" s="47"/>
      <c r="Z93" s="47"/>
      <c r="AA93" s="47"/>
      <c r="AB93" s="47"/>
      <c r="AC93" s="47"/>
      <c r="AD93" s="47"/>
      <c r="AE93" s="14"/>
      <c r="AF93" s="14"/>
      <c r="AG93" s="14"/>
      <c r="AH93" s="14"/>
      <c r="AI93" s="14"/>
      <c r="AJ93" s="14"/>
      <c r="AK93" s="14"/>
    </row>
    <row r="94" ht="12.75" customHeight="1">
      <c r="S94" s="14"/>
      <c r="T94" s="14"/>
      <c r="U94" s="47"/>
      <c r="V94" s="14"/>
      <c r="W94" s="14"/>
      <c r="X94" s="47"/>
      <c r="Y94" s="47"/>
      <c r="Z94" s="47"/>
      <c r="AA94" s="47"/>
      <c r="AB94" s="47"/>
      <c r="AC94" s="14"/>
      <c r="AD94" s="14"/>
      <c r="AE94" s="14"/>
      <c r="AF94" s="14"/>
      <c r="AG94" s="14"/>
      <c r="AH94" s="14"/>
      <c r="AI94" s="14"/>
      <c r="AJ94" s="14"/>
      <c r="AK94" s="14"/>
    </row>
    <row r="95" ht="12.75" customHeight="1">
      <c r="S95" s="14"/>
      <c r="T95" s="14"/>
      <c r="U95" s="47"/>
      <c r="V95" s="14"/>
      <c r="W95" s="14"/>
      <c r="X95" s="47"/>
      <c r="Y95" s="47"/>
      <c r="Z95" s="47"/>
      <c r="AA95" s="47"/>
      <c r="AB95" s="47"/>
      <c r="AC95" s="14"/>
      <c r="AD95" s="14"/>
      <c r="AE95" s="14"/>
      <c r="AF95" s="14"/>
      <c r="AG95" s="14"/>
      <c r="AH95" s="14"/>
      <c r="AI95" s="14"/>
      <c r="AJ95" s="14"/>
      <c r="AK95" s="14"/>
    </row>
    <row r="96" ht="12.75" customHeight="1">
      <c r="S96" s="14"/>
      <c r="T96" s="14"/>
      <c r="U96" s="47"/>
      <c r="V96" s="14"/>
      <c r="W96" s="14"/>
      <c r="X96" s="47"/>
      <c r="Y96" s="47"/>
      <c r="Z96" s="47"/>
      <c r="AA96" s="47"/>
      <c r="AB96" s="47"/>
      <c r="AC96" s="14"/>
      <c r="AD96" s="14"/>
      <c r="AE96" s="14"/>
      <c r="AF96" s="14"/>
      <c r="AG96" s="14"/>
      <c r="AH96" s="14"/>
      <c r="AI96" s="14"/>
      <c r="AJ96" s="14"/>
      <c r="AK96" s="14"/>
    </row>
    <row r="97" ht="12.75" customHeight="1">
      <c r="S97" s="14"/>
      <c r="T97" s="14"/>
      <c r="U97" s="14"/>
      <c r="V97" s="14"/>
      <c r="W97" s="14"/>
      <c r="X97" s="14"/>
      <c r="Y97" s="47"/>
      <c r="Z97" s="47"/>
      <c r="AA97" s="47"/>
      <c r="AB97" s="47"/>
      <c r="AC97" s="14"/>
      <c r="AD97" s="14"/>
      <c r="AE97" s="14"/>
      <c r="AF97" s="14"/>
      <c r="AG97" s="14"/>
      <c r="AH97" s="14"/>
      <c r="AI97" s="14"/>
      <c r="AJ97" s="14"/>
      <c r="AK97" s="14"/>
    </row>
    <row r="98" ht="12.75" customHeight="1">
      <c r="S98" s="14"/>
      <c r="T98" s="14"/>
      <c r="U98" s="47"/>
      <c r="V98" s="14"/>
      <c r="W98" s="14"/>
      <c r="X98" s="14"/>
      <c r="Y98" s="47"/>
      <c r="Z98" s="47"/>
      <c r="AA98" s="47"/>
      <c r="AB98" s="47"/>
      <c r="AC98" s="14"/>
      <c r="AD98" s="14"/>
      <c r="AE98" s="14"/>
      <c r="AF98" s="14"/>
      <c r="AG98" s="14"/>
      <c r="AH98" s="14"/>
      <c r="AI98" s="14"/>
      <c r="AJ98" s="14"/>
      <c r="AK98" s="14"/>
    </row>
    <row r="99" ht="12.75" customHeight="1">
      <c r="S99" s="14"/>
      <c r="T99" s="47"/>
      <c r="U99" s="47"/>
      <c r="V99" s="14"/>
      <c r="W99" s="14"/>
      <c r="X99" s="14"/>
      <c r="Y99" s="47"/>
      <c r="Z99" s="47"/>
      <c r="AA99" s="47"/>
      <c r="AB99" s="47"/>
      <c r="AC99" s="47"/>
      <c r="AD99" s="47"/>
      <c r="AE99" s="14"/>
      <c r="AF99" s="14"/>
      <c r="AG99" s="14"/>
      <c r="AH99" s="14"/>
      <c r="AI99" s="14"/>
      <c r="AJ99" s="14"/>
      <c r="AK99" s="14"/>
    </row>
    <row r="100" ht="12.75" customHeight="1">
      <c r="S100" s="14"/>
      <c r="T100" s="14"/>
      <c r="U100" s="14"/>
      <c r="V100" s="47"/>
      <c r="W100" s="47"/>
      <c r="X100" s="14"/>
      <c r="Y100" s="14"/>
      <c r="Z100" s="14"/>
      <c r="AA100" s="14"/>
      <c r="AB100" s="14"/>
      <c r="AC100" s="47"/>
      <c r="AD100" s="14"/>
      <c r="AE100" s="14"/>
      <c r="AF100" s="14"/>
      <c r="AG100" s="14"/>
      <c r="AH100" s="14"/>
      <c r="AI100" s="14"/>
      <c r="AJ100" s="14"/>
      <c r="AK100" s="14"/>
    </row>
    <row r="101" ht="12.75" customHeight="1">
      <c r="S101" s="14"/>
      <c r="T101" s="14"/>
      <c r="U101" s="14"/>
      <c r="V101" s="14"/>
      <c r="W101" s="14"/>
      <c r="X101" s="14"/>
      <c r="Y101" s="14"/>
      <c r="Z101" s="14"/>
      <c r="AA101" s="47"/>
      <c r="AB101" s="47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 ht="12.75" customHeight="1">
      <c r="S102" s="14"/>
      <c r="T102" s="14"/>
      <c r="U102" s="14"/>
      <c r="V102" s="14"/>
      <c r="W102" s="14"/>
      <c r="X102" s="14"/>
      <c r="Y102" s="14"/>
      <c r="Z102" s="14"/>
      <c r="AA102" s="47"/>
      <c r="AB102" s="47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 ht="12.75" customHeight="1">
      <c r="S103" s="14"/>
      <c r="T103" s="14"/>
      <c r="U103" s="14"/>
      <c r="V103" s="14"/>
      <c r="W103" s="14"/>
      <c r="X103" s="14"/>
      <c r="Y103" s="14"/>
      <c r="Z103" s="14"/>
      <c r="AA103" s="47"/>
      <c r="AB103" s="47"/>
      <c r="AC103" s="14"/>
      <c r="AD103" s="14"/>
      <c r="AE103" s="14"/>
      <c r="AF103" s="14"/>
      <c r="AG103" s="14"/>
      <c r="AH103" s="14"/>
      <c r="AI103" s="14"/>
      <c r="AJ103" s="14"/>
      <c r="AK103" s="14"/>
    </row>
    <row r="104" ht="12.75" customHeight="1">
      <c r="S104" s="14"/>
      <c r="T104" s="47"/>
      <c r="U104" s="14"/>
      <c r="V104" s="14"/>
      <c r="W104" s="14"/>
      <c r="X104" s="14"/>
      <c r="Y104" s="47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 ht="12.75" customHeight="1">
      <c r="S105" s="14"/>
      <c r="T105" s="47"/>
      <c r="U105" s="47"/>
      <c r="V105" s="14"/>
      <c r="W105" s="14"/>
      <c r="X105" s="14"/>
      <c r="Y105" s="47"/>
      <c r="Z105" s="47"/>
      <c r="AA105" s="14"/>
      <c r="AB105" s="14"/>
      <c r="AC105" s="47"/>
      <c r="AD105" s="47"/>
      <c r="AE105" s="14"/>
      <c r="AF105" s="14"/>
      <c r="AG105" s="14"/>
      <c r="AH105" s="14"/>
      <c r="AI105" s="14"/>
      <c r="AJ105" s="14"/>
      <c r="AK105" s="14"/>
    </row>
    <row r="106" ht="12.75" customHeight="1">
      <c r="S106" s="14"/>
      <c r="T106" s="47"/>
      <c r="U106" s="47"/>
      <c r="V106" s="14"/>
      <c r="W106" s="14"/>
      <c r="X106" s="47"/>
      <c r="Y106" s="47"/>
      <c r="Z106" s="47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 ht="12.75" customHeight="1">
      <c r="S107" s="14"/>
      <c r="T107" s="47"/>
      <c r="U107" s="47"/>
      <c r="V107" s="14"/>
      <c r="W107" s="14"/>
      <c r="X107" s="14"/>
      <c r="Y107" s="47"/>
      <c r="Z107" s="47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</row>
    <row r="108" ht="12.75" customHeight="1">
      <c r="S108" s="14"/>
      <c r="T108" s="47"/>
      <c r="U108" s="47"/>
      <c r="V108" s="14"/>
      <c r="W108" s="14"/>
      <c r="X108" s="14"/>
      <c r="Y108" s="47"/>
      <c r="Z108" s="47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 ht="12.75" customHeight="1">
      <c r="S109" s="14"/>
      <c r="T109" s="47"/>
      <c r="U109" s="47"/>
      <c r="V109" s="14"/>
      <c r="W109" s="14"/>
      <c r="X109" s="14"/>
      <c r="Y109" s="47"/>
      <c r="Z109" s="47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</row>
    <row r="110" ht="12.75" customHeight="1">
      <c r="S110" s="14"/>
      <c r="T110" s="47"/>
      <c r="U110" s="47"/>
      <c r="V110" s="14"/>
      <c r="W110" s="14"/>
      <c r="X110" s="14"/>
      <c r="Y110" s="47"/>
      <c r="Z110" s="47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 ht="12.75" customHeight="1">
      <c r="S111" s="14"/>
      <c r="T111" s="47"/>
      <c r="U111" s="47"/>
      <c r="V111" s="14"/>
      <c r="W111" s="14"/>
      <c r="X111" s="14"/>
      <c r="Y111" s="47"/>
      <c r="Z111" s="47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 ht="12.75" customHeight="1">
      <c r="S112" s="14"/>
      <c r="T112" s="47"/>
      <c r="U112" s="47"/>
      <c r="V112" s="14"/>
      <c r="W112" s="14"/>
      <c r="X112" s="14"/>
      <c r="Y112" s="47"/>
      <c r="Z112" s="47"/>
      <c r="AA112" s="14"/>
      <c r="AB112" s="14"/>
      <c r="AC112" s="47"/>
      <c r="AD112" s="47"/>
      <c r="AE112" s="14"/>
      <c r="AF112" s="14"/>
      <c r="AG112" s="14"/>
      <c r="AH112" s="14"/>
      <c r="AI112" s="14"/>
      <c r="AJ112" s="14"/>
      <c r="AK112" s="14"/>
    </row>
    <row r="113" ht="12.75" customHeight="1">
      <c r="S113" s="14"/>
      <c r="T113" s="47"/>
      <c r="U113" s="47"/>
      <c r="V113" s="14"/>
      <c r="W113" s="14"/>
      <c r="X113" s="14"/>
      <c r="Y113" s="47"/>
      <c r="Z113" s="47"/>
      <c r="AA113" s="14"/>
      <c r="AB113" s="14"/>
      <c r="AC113" s="14"/>
      <c r="AD113" s="47"/>
      <c r="AE113" s="14"/>
      <c r="AF113" s="14"/>
      <c r="AG113" s="14"/>
      <c r="AH113" s="14"/>
      <c r="AI113" s="14"/>
      <c r="AJ113" s="14"/>
      <c r="AK113" s="14"/>
    </row>
    <row r="114" ht="12.75" customHeight="1">
      <c r="S114" s="14"/>
      <c r="T114" s="47"/>
      <c r="U114" s="47"/>
      <c r="V114" s="14"/>
      <c r="W114" s="14"/>
      <c r="X114" s="47"/>
      <c r="Y114" s="47"/>
      <c r="Z114" s="47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 ht="12.75" customHeight="1">
      <c r="S115" s="14"/>
      <c r="T115" s="47"/>
      <c r="U115" s="47"/>
      <c r="V115" s="14"/>
      <c r="W115" s="14"/>
      <c r="X115" s="14"/>
      <c r="Y115" s="47"/>
      <c r="Z115" s="47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</row>
    <row r="116" ht="12.75" customHeight="1">
      <c r="S116" s="14"/>
      <c r="T116" s="47"/>
      <c r="U116" s="47"/>
      <c r="V116" s="14"/>
      <c r="W116" s="14"/>
      <c r="X116" s="14"/>
      <c r="Y116" s="47"/>
      <c r="Z116" s="47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</row>
    <row r="117" ht="12.75" customHeight="1">
      <c r="S117" s="14"/>
      <c r="T117" s="47"/>
      <c r="U117" s="47"/>
      <c r="V117" s="14"/>
      <c r="W117" s="14"/>
      <c r="X117" s="14"/>
      <c r="Y117" s="47"/>
      <c r="Z117" s="47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</row>
    <row r="118" ht="12.75" customHeight="1">
      <c r="S118" s="14"/>
      <c r="T118" s="47"/>
      <c r="U118" s="47"/>
      <c r="V118" s="14"/>
      <c r="W118" s="14"/>
      <c r="X118" s="14"/>
      <c r="Y118" s="47"/>
      <c r="Z118" s="47"/>
      <c r="AA118" s="14"/>
      <c r="AB118" s="14"/>
      <c r="AC118" s="47"/>
      <c r="AD118" s="47"/>
      <c r="AE118" s="14"/>
      <c r="AF118" s="14"/>
      <c r="AG118" s="14"/>
      <c r="AH118" s="14"/>
      <c r="AI118" s="14"/>
      <c r="AJ118" s="14"/>
      <c r="AK118" s="14"/>
    </row>
    <row r="119" ht="12.75" customHeight="1">
      <c r="S119" s="14"/>
      <c r="T119" s="14"/>
      <c r="U119" s="14"/>
      <c r="V119" s="47"/>
      <c r="W119" s="47"/>
      <c r="X119" s="47"/>
      <c r="Y119" s="47"/>
      <c r="Z119" s="47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</row>
    <row r="120" ht="12.75" customHeight="1">
      <c r="S120" s="14"/>
      <c r="T120" s="14"/>
      <c r="U120" s="14"/>
      <c r="V120" s="14"/>
      <c r="W120" s="14"/>
      <c r="X120" s="14"/>
      <c r="Y120" s="47"/>
      <c r="Z120" s="47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 ht="12.75" customHeight="1">
      <c r="S121" s="14"/>
      <c r="T121" s="14"/>
      <c r="U121" s="14"/>
      <c r="V121" s="14"/>
      <c r="W121" s="14"/>
      <c r="X121" s="14"/>
      <c r="Y121" s="47"/>
      <c r="Z121" s="47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</row>
    <row r="122" ht="12.75" customHeight="1">
      <c r="S122" s="14"/>
      <c r="T122" s="14"/>
      <c r="U122" s="14"/>
      <c r="V122" s="14"/>
      <c r="W122" s="14"/>
      <c r="X122" s="14"/>
      <c r="Y122" s="47"/>
      <c r="Z122" s="47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</row>
    <row r="123" ht="12.75" customHeight="1">
      <c r="S123" s="14"/>
      <c r="T123" s="14"/>
      <c r="U123" s="14"/>
      <c r="V123" s="14"/>
      <c r="W123" s="14"/>
      <c r="X123" s="14"/>
      <c r="Y123" s="47"/>
      <c r="Z123" s="47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</row>
    <row r="124" ht="12.75" customHeight="1">
      <c r="S124" s="14"/>
      <c r="T124" s="14"/>
      <c r="U124" s="14"/>
      <c r="V124" s="14"/>
      <c r="W124" s="14"/>
      <c r="X124" s="14"/>
      <c r="Y124" s="47"/>
      <c r="Z124" s="47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</row>
    <row r="125" ht="12.75" customHeight="1">
      <c r="S125" s="14"/>
      <c r="T125" s="47"/>
      <c r="U125" s="47"/>
      <c r="V125" s="14"/>
      <c r="W125" s="14"/>
      <c r="X125" s="14"/>
      <c r="Y125" s="47"/>
      <c r="Z125" s="47"/>
      <c r="AA125" s="14"/>
      <c r="AB125" s="14"/>
      <c r="AC125" s="47"/>
      <c r="AD125" s="47"/>
      <c r="AE125" s="14"/>
      <c r="AF125" s="14"/>
      <c r="AG125" s="14"/>
      <c r="AH125" s="14"/>
      <c r="AI125" s="14"/>
      <c r="AJ125" s="14"/>
      <c r="AK125" s="14"/>
    </row>
    <row r="126" ht="12.75" customHeight="1">
      <c r="S126" s="14"/>
      <c r="T126" s="14"/>
      <c r="U126" s="47"/>
      <c r="V126" s="14"/>
      <c r="W126" s="14"/>
      <c r="X126" s="14"/>
      <c r="Y126" s="47"/>
      <c r="Z126" s="47"/>
      <c r="AA126" s="14"/>
      <c r="AB126" s="14"/>
      <c r="AC126" s="14"/>
      <c r="AD126" s="47"/>
      <c r="AE126" s="14"/>
      <c r="AF126" s="14"/>
      <c r="AG126" s="14"/>
      <c r="AH126" s="14"/>
      <c r="AI126" s="14"/>
      <c r="AJ126" s="14"/>
      <c r="AK126" s="14"/>
    </row>
    <row r="127" ht="12.75" customHeight="1">
      <c r="S127" s="14"/>
      <c r="T127" s="14"/>
      <c r="U127" s="47"/>
      <c r="V127" s="14"/>
      <c r="W127" s="14"/>
      <c r="X127" s="47"/>
      <c r="Y127" s="47"/>
      <c r="Z127" s="47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</row>
    <row r="128" ht="12.75" customHeight="1">
      <c r="S128" s="14"/>
      <c r="T128" s="14"/>
      <c r="U128" s="14"/>
      <c r="V128" s="14"/>
      <c r="W128" s="14"/>
      <c r="X128" s="47"/>
      <c r="Y128" s="47"/>
      <c r="Z128" s="47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 ht="12.75" customHeight="1">
      <c r="S129" s="14"/>
      <c r="T129" s="14"/>
      <c r="U129" s="14"/>
      <c r="V129" s="14"/>
      <c r="W129" s="14"/>
      <c r="X129" s="14"/>
      <c r="Y129" s="47"/>
      <c r="Z129" s="47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 ht="12.75" customHeight="1">
      <c r="S130" s="14"/>
      <c r="T130" s="14"/>
      <c r="U130" s="14"/>
      <c r="V130" s="14"/>
      <c r="W130" s="14"/>
      <c r="X130" s="14"/>
      <c r="Y130" s="47"/>
      <c r="Z130" s="47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</row>
    <row r="131" ht="12.75" customHeight="1">
      <c r="S131" s="14"/>
      <c r="T131" s="14"/>
      <c r="U131" s="14"/>
      <c r="V131" s="14"/>
      <c r="W131" s="14"/>
      <c r="X131" s="14"/>
      <c r="Y131" s="47"/>
      <c r="Z131" s="47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</row>
    <row r="132" ht="12.75" customHeight="1">
      <c r="S132" s="14"/>
      <c r="T132" s="14"/>
      <c r="U132" s="47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</row>
    <row r="133" ht="12.75" customHeight="1">
      <c r="S133" s="14"/>
      <c r="T133" s="47"/>
      <c r="U133" s="47"/>
      <c r="V133" s="47"/>
      <c r="W133" s="47"/>
      <c r="X133" s="47"/>
      <c r="Y133" s="14"/>
      <c r="Z133" s="14"/>
      <c r="AA133" s="47"/>
      <c r="AB133" s="47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 ht="12.75" customHeight="1">
      <c r="S134" s="14"/>
      <c r="T134" s="14"/>
      <c r="U134" s="47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</row>
    <row r="135" ht="12.75" customHeight="1"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 ht="12.75" customHeight="1"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 ht="12.75" customHeight="1"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</row>
    <row r="138" ht="12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 ht="12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 ht="12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</row>
    <row r="141" ht="12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</row>
    <row r="142" ht="12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 ht="12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 ht="12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</row>
    <row r="145" ht="12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</row>
    <row r="146" ht="12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</row>
    <row r="147" ht="12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</row>
    <row r="148" ht="12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</row>
    <row r="149" ht="12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</row>
    <row r="150" ht="12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</row>
    <row r="151" ht="12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</row>
    <row r="152" ht="12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</row>
    <row r="153" ht="12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</row>
    <row r="154" ht="12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</row>
    <row r="155" ht="12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</row>
    <row r="156" ht="12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</row>
    <row r="157" ht="12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</row>
    <row r="158" ht="12.75" customHeight="1">
      <c r="A158" s="14"/>
      <c r="B158" s="14"/>
      <c r="C158" s="14"/>
      <c r="D158" s="14" t="s">
        <v>23</v>
      </c>
      <c r="E158" s="62" t="s">
        <v>12</v>
      </c>
      <c r="F158" s="62" t="s">
        <v>13</v>
      </c>
      <c r="G158" s="62" t="s">
        <v>14</v>
      </c>
      <c r="H158" s="62" t="s">
        <v>15</v>
      </c>
      <c r="I158" s="62" t="s">
        <v>16</v>
      </c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</row>
    <row r="159" ht="12.75" customHeight="1">
      <c r="A159" s="14"/>
      <c r="B159" s="14"/>
      <c r="C159" s="14"/>
      <c r="D159" s="63"/>
      <c r="E159" s="63"/>
      <c r="F159" s="64"/>
      <c r="G159" s="63"/>
      <c r="H159" s="63"/>
      <c r="I159" s="63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</row>
    <row r="160" ht="12.75" customHeight="1">
      <c r="A160" s="14"/>
      <c r="B160" s="14"/>
      <c r="C160" s="14"/>
      <c r="D160" s="65">
        <v>10.0</v>
      </c>
      <c r="E160" s="63"/>
      <c r="F160" s="66">
        <v>2.2</v>
      </c>
      <c r="G160" s="65">
        <v>2.49</v>
      </c>
      <c r="H160" s="65">
        <v>2.41</v>
      </c>
      <c r="I160" s="63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</row>
    <row r="161" ht="12.75" customHeight="1">
      <c r="A161" s="14"/>
      <c r="B161" s="14"/>
      <c r="C161" s="14"/>
      <c r="D161" s="65">
        <v>15.0</v>
      </c>
      <c r="E161" s="63"/>
      <c r="F161" s="66">
        <v>2.3</v>
      </c>
      <c r="G161" s="65">
        <v>2.54</v>
      </c>
      <c r="H161" s="65">
        <v>2.47</v>
      </c>
      <c r="I161" s="63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</row>
    <row r="162" ht="12.75" customHeight="1">
      <c r="A162" s="14"/>
      <c r="B162" s="14"/>
      <c r="C162" s="14"/>
      <c r="D162" s="63">
        <v>20.0</v>
      </c>
      <c r="E162" s="63"/>
      <c r="F162" s="64">
        <v>2.4</v>
      </c>
      <c r="G162" s="63">
        <v>2.59</v>
      </c>
      <c r="H162" s="63">
        <v>2.53</v>
      </c>
      <c r="I162" s="63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</row>
    <row r="163" ht="12.75" customHeight="1">
      <c r="A163" s="14"/>
      <c r="B163" s="14"/>
      <c r="C163" s="14"/>
      <c r="D163" s="47">
        <v>25.0</v>
      </c>
      <c r="E163" s="14"/>
      <c r="F163" s="66">
        <v>2.45</v>
      </c>
      <c r="G163" s="47">
        <v>2.64</v>
      </c>
      <c r="H163" s="47">
        <v>2.59</v>
      </c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</row>
    <row r="164" ht="12.75" customHeight="1">
      <c r="A164" s="14"/>
      <c r="B164" s="14"/>
      <c r="C164" s="14"/>
      <c r="D164" s="47">
        <v>30.0</v>
      </c>
      <c r="E164" s="14"/>
      <c r="F164" s="66">
        <v>2.5</v>
      </c>
      <c r="G164" s="47">
        <v>2.69</v>
      </c>
      <c r="H164" s="47">
        <v>2.67</v>
      </c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 ht="12.75" customHeight="1">
      <c r="A165" s="14"/>
      <c r="B165" s="14"/>
      <c r="C165" s="14"/>
      <c r="D165" s="47">
        <v>35.0</v>
      </c>
      <c r="E165" s="14"/>
      <c r="F165" s="66">
        <v>2.55</v>
      </c>
      <c r="G165" s="47">
        <v>2.74</v>
      </c>
      <c r="H165" s="47">
        <v>2.76</v>
      </c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</row>
    <row r="166" ht="12.75" customHeight="1">
      <c r="A166" s="14"/>
      <c r="B166" s="14"/>
      <c r="C166" s="14"/>
      <c r="D166" s="14">
        <v>40.0</v>
      </c>
      <c r="E166" s="14"/>
      <c r="F166" s="67">
        <v>2.6</v>
      </c>
      <c r="G166" s="14">
        <v>2.78</v>
      </c>
      <c r="H166" s="14">
        <v>2.82</v>
      </c>
      <c r="I166" s="14"/>
      <c r="J166" s="14"/>
      <c r="K166" s="62"/>
      <c r="L166" s="62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</row>
    <row r="167" ht="12.75" customHeight="1">
      <c r="A167" s="14"/>
      <c r="B167" s="14"/>
      <c r="C167" s="14"/>
      <c r="D167" s="65">
        <v>45.0</v>
      </c>
      <c r="E167" s="63"/>
      <c r="F167" s="66">
        <v>2.62</v>
      </c>
      <c r="G167" s="65">
        <v>2.82</v>
      </c>
      <c r="H167" s="65">
        <v>2.9</v>
      </c>
      <c r="I167" s="63"/>
      <c r="J167" s="14"/>
      <c r="K167" s="62"/>
      <c r="L167" s="62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</row>
    <row r="168" ht="12.75" customHeight="1">
      <c r="A168" s="14"/>
      <c r="B168" s="14"/>
      <c r="C168" s="14"/>
      <c r="D168" s="65">
        <v>50.0</v>
      </c>
      <c r="E168" s="63"/>
      <c r="F168" s="66">
        <v>2.65</v>
      </c>
      <c r="G168" s="65">
        <v>2.85</v>
      </c>
      <c r="H168" s="65">
        <v>2.98</v>
      </c>
      <c r="I168" s="63"/>
      <c r="J168" s="14"/>
      <c r="K168" s="62"/>
      <c r="L168" s="62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</row>
    <row r="169" ht="12.75" customHeight="1">
      <c r="A169" s="14"/>
      <c r="B169" s="14"/>
      <c r="C169" s="14"/>
      <c r="D169" s="65">
        <v>55.0</v>
      </c>
      <c r="E169" s="63"/>
      <c r="F169" s="66">
        <v>2.67</v>
      </c>
      <c r="G169" s="65">
        <v>2.88</v>
      </c>
      <c r="H169" s="65">
        <v>3.07</v>
      </c>
      <c r="I169" s="63"/>
      <c r="J169" s="14"/>
      <c r="K169" s="62"/>
      <c r="L169" s="62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</row>
    <row r="170" ht="12.75" customHeight="1">
      <c r="A170" s="14"/>
      <c r="B170" s="14"/>
      <c r="C170" s="14"/>
      <c r="D170" s="63">
        <v>60.0</v>
      </c>
      <c r="E170" s="63"/>
      <c r="F170" s="64">
        <v>2.7</v>
      </c>
      <c r="G170" s="63">
        <v>2.91</v>
      </c>
      <c r="H170" s="63">
        <v>3.15</v>
      </c>
      <c r="I170" s="63"/>
      <c r="J170" s="14"/>
      <c r="K170" s="62" t="s">
        <v>23</v>
      </c>
      <c r="L170" s="62" t="s">
        <v>24</v>
      </c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</row>
    <row r="171" ht="12.75" customHeight="1">
      <c r="A171" s="14"/>
      <c r="B171" s="14"/>
      <c r="C171" s="14"/>
      <c r="D171" s="47">
        <v>65.0</v>
      </c>
      <c r="E171" s="14"/>
      <c r="F171" s="47">
        <v>2.72</v>
      </c>
      <c r="G171" s="47">
        <v>2.92</v>
      </c>
      <c r="H171" s="47">
        <v>3.17</v>
      </c>
      <c r="I171" s="14"/>
      <c r="J171" s="14"/>
      <c r="K171" s="68"/>
      <c r="L171" s="68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</row>
    <row r="172" ht="12.75" customHeight="1">
      <c r="A172" s="14"/>
      <c r="B172" s="14"/>
      <c r="C172" s="14"/>
      <c r="D172" s="47">
        <v>70.0</v>
      </c>
      <c r="E172" s="14"/>
      <c r="F172" s="47">
        <v>2.73</v>
      </c>
      <c r="G172" s="47">
        <v>2.93</v>
      </c>
      <c r="H172" s="47">
        <v>3.19</v>
      </c>
      <c r="I172" s="14"/>
      <c r="J172" s="14"/>
      <c r="K172" s="68"/>
      <c r="L172" s="68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</row>
    <row r="173" ht="12.75" customHeight="1">
      <c r="A173" s="14"/>
      <c r="B173" s="14"/>
      <c r="C173" s="14"/>
      <c r="D173" s="47">
        <v>75.0</v>
      </c>
      <c r="E173" s="14"/>
      <c r="F173" s="47">
        <v>2.74</v>
      </c>
      <c r="G173" s="47">
        <v>2.95</v>
      </c>
      <c r="H173" s="47">
        <v>3.22</v>
      </c>
      <c r="I173" s="14"/>
      <c r="J173" s="14"/>
      <c r="K173" s="68"/>
      <c r="L173" s="68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 ht="12.75" customHeight="1">
      <c r="A174" s="14"/>
      <c r="B174" s="14"/>
      <c r="C174" s="14"/>
      <c r="D174" s="14">
        <v>80.0</v>
      </c>
      <c r="E174" s="14"/>
      <c r="F174" s="14">
        <v>2.75</v>
      </c>
      <c r="G174" s="14">
        <v>2.96</v>
      </c>
      <c r="H174" s="14">
        <v>3.24</v>
      </c>
      <c r="I174" s="14"/>
      <c r="J174" s="62"/>
      <c r="K174" s="68">
        <v>1.0</v>
      </c>
      <c r="L174" s="68">
        <v>1.0</v>
      </c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</row>
    <row r="175" ht="12.75" customHeight="1">
      <c r="A175" s="14"/>
      <c r="B175" s="14"/>
      <c r="C175" s="14"/>
      <c r="D175" s="65">
        <v>85.0</v>
      </c>
      <c r="E175" s="63"/>
      <c r="F175" s="66">
        <v>2.77</v>
      </c>
      <c r="G175" s="65">
        <v>2.97</v>
      </c>
      <c r="H175" s="65">
        <v>3.24</v>
      </c>
      <c r="I175" s="64"/>
      <c r="J175" s="14"/>
      <c r="K175" s="63"/>
      <c r="L175" s="63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</row>
    <row r="176" ht="12.75" customHeight="1">
      <c r="A176" s="14"/>
      <c r="B176" s="14"/>
      <c r="C176" s="14"/>
      <c r="D176" s="65">
        <v>90.0</v>
      </c>
      <c r="E176" s="63"/>
      <c r="F176" s="66">
        <v>2.78</v>
      </c>
      <c r="G176" s="65">
        <v>2.99</v>
      </c>
      <c r="H176" s="65">
        <v>3.23</v>
      </c>
      <c r="I176" s="64"/>
      <c r="J176" s="14"/>
      <c r="K176" s="63"/>
      <c r="L176" s="63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</row>
    <row r="177" ht="12.75" customHeight="1">
      <c r="A177" s="14"/>
      <c r="B177" s="14"/>
      <c r="C177" s="14"/>
      <c r="D177" s="65">
        <v>95.0</v>
      </c>
      <c r="E177" s="63"/>
      <c r="F177" s="66">
        <v>2.79</v>
      </c>
      <c r="G177" s="65">
        <v>3.01</v>
      </c>
      <c r="H177" s="65">
        <v>3.23</v>
      </c>
      <c r="I177" s="64"/>
      <c r="J177" s="14"/>
      <c r="K177" s="63"/>
      <c r="L177" s="63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</row>
    <row r="178" ht="12.75" customHeight="1">
      <c r="A178" s="14"/>
      <c r="B178" s="14"/>
      <c r="C178" s="14"/>
      <c r="D178" s="63">
        <v>100.0</v>
      </c>
      <c r="E178" s="63">
        <v>2.92</v>
      </c>
      <c r="F178" s="64">
        <v>2.8</v>
      </c>
      <c r="G178" s="63">
        <v>3.02</v>
      </c>
      <c r="H178" s="63">
        <v>3.23</v>
      </c>
      <c r="I178" s="64">
        <v>3.8</v>
      </c>
      <c r="J178" s="14"/>
      <c r="K178" s="63">
        <v>3.0</v>
      </c>
      <c r="L178" s="63">
        <v>1.04</v>
      </c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 ht="12.75" customHeight="1">
      <c r="A179" s="14"/>
      <c r="B179" s="14"/>
      <c r="C179" s="14"/>
      <c r="D179" s="47">
        <v>105.0</v>
      </c>
      <c r="E179" s="47">
        <v>2.93</v>
      </c>
      <c r="F179" s="47">
        <v>2.81</v>
      </c>
      <c r="G179" s="47">
        <v>3.03</v>
      </c>
      <c r="H179" s="47">
        <v>3.23</v>
      </c>
      <c r="I179" s="64">
        <v>3.8</v>
      </c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 ht="12.75" customHeight="1">
      <c r="A180" s="14"/>
      <c r="B180" s="14"/>
      <c r="C180" s="14"/>
      <c r="D180" s="47">
        <v>110.0</v>
      </c>
      <c r="E180" s="47">
        <v>2.95</v>
      </c>
      <c r="F180" s="47">
        <v>2.83</v>
      </c>
      <c r="G180" s="47">
        <v>3.04</v>
      </c>
      <c r="H180" s="47">
        <v>3.22</v>
      </c>
      <c r="I180" s="64">
        <v>3.8</v>
      </c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 ht="12.75" customHeight="1">
      <c r="A181" s="14"/>
      <c r="B181" s="14"/>
      <c r="C181" s="14"/>
      <c r="D181" s="14">
        <v>115.0</v>
      </c>
      <c r="E181" s="47">
        <v>2.97</v>
      </c>
      <c r="F181" s="47">
        <v>2.84</v>
      </c>
      <c r="G181" s="47">
        <v>3.06</v>
      </c>
      <c r="H181" s="47">
        <v>3.21</v>
      </c>
      <c r="I181" s="64">
        <v>3.8</v>
      </c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 ht="12.75" customHeight="1">
      <c r="A182" s="14"/>
      <c r="B182" s="14"/>
      <c r="C182" s="14"/>
      <c r="D182" s="47">
        <v>120.0</v>
      </c>
      <c r="E182" s="14">
        <v>2.99</v>
      </c>
      <c r="F182" s="14">
        <v>2.85</v>
      </c>
      <c r="G182" s="14">
        <v>3.08</v>
      </c>
      <c r="H182" s="14">
        <v>3.21</v>
      </c>
      <c r="I182" s="14">
        <v>3.78</v>
      </c>
      <c r="J182" s="14"/>
      <c r="K182" s="14">
        <v>4.0</v>
      </c>
      <c r="L182" s="14">
        <v>1.13</v>
      </c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 ht="12.75" customHeight="1">
      <c r="A183" s="14"/>
      <c r="B183" s="14"/>
      <c r="C183" s="14"/>
      <c r="D183" s="14">
        <v>125.0</v>
      </c>
      <c r="E183" s="65">
        <v>2.99</v>
      </c>
      <c r="F183" s="65">
        <v>2.86</v>
      </c>
      <c r="G183" s="65">
        <v>3.09</v>
      </c>
      <c r="H183" s="65">
        <v>3.21</v>
      </c>
      <c r="I183" s="14">
        <v>3.78</v>
      </c>
      <c r="J183" s="14"/>
      <c r="K183" s="63"/>
      <c r="L183" s="63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 ht="12.75" customHeight="1">
      <c r="A184" s="14"/>
      <c r="B184" s="14"/>
      <c r="C184" s="14"/>
      <c r="D184" s="65">
        <v>130.0</v>
      </c>
      <c r="E184" s="65">
        <v>2.97</v>
      </c>
      <c r="F184" s="65">
        <v>2.88</v>
      </c>
      <c r="G184" s="65">
        <v>3.11</v>
      </c>
      <c r="H184" s="65">
        <v>3.21</v>
      </c>
      <c r="I184" s="14">
        <v>3.78</v>
      </c>
      <c r="J184" s="14"/>
      <c r="K184" s="63"/>
      <c r="L184" s="63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 ht="12.75" customHeight="1">
      <c r="A185" s="14"/>
      <c r="B185" s="14"/>
      <c r="C185" s="14"/>
      <c r="D185" s="65">
        <v>135.0</v>
      </c>
      <c r="E185" s="65">
        <v>2.97</v>
      </c>
      <c r="F185" s="65">
        <v>2.9</v>
      </c>
      <c r="G185" s="65">
        <v>3.13</v>
      </c>
      <c r="H185" s="65">
        <v>3.22</v>
      </c>
      <c r="I185" s="14">
        <v>3.78</v>
      </c>
      <c r="J185" s="14"/>
      <c r="K185" s="63"/>
      <c r="L185" s="63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 ht="12.75" customHeight="1">
      <c r="A186" s="14"/>
      <c r="B186" s="14"/>
      <c r="C186" s="14"/>
      <c r="D186" s="65">
        <v>140.0</v>
      </c>
      <c r="E186" s="63">
        <v>2.97</v>
      </c>
      <c r="F186" s="63">
        <v>2.91</v>
      </c>
      <c r="G186" s="63">
        <v>3.15</v>
      </c>
      <c r="H186" s="63">
        <v>3.22</v>
      </c>
      <c r="I186" s="63">
        <v>3.8</v>
      </c>
      <c r="J186" s="14"/>
      <c r="K186" s="63">
        <v>5.0</v>
      </c>
      <c r="L186" s="63">
        <v>1.23</v>
      </c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</row>
    <row r="187" ht="12.75" customHeight="1">
      <c r="A187" s="14"/>
      <c r="B187" s="14"/>
      <c r="C187" s="14"/>
      <c r="D187" s="63">
        <v>145.0</v>
      </c>
      <c r="E187" s="47">
        <v>2.97</v>
      </c>
      <c r="F187" s="47">
        <v>2.93</v>
      </c>
      <c r="G187" s="47">
        <v>3.17</v>
      </c>
      <c r="H187" s="47">
        <v>3.23</v>
      </c>
      <c r="I187" s="63">
        <v>3.8</v>
      </c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 ht="12.75" customHeight="1">
      <c r="A188" s="14"/>
      <c r="B188" s="14"/>
      <c r="C188" s="14"/>
      <c r="D188" s="47">
        <v>150.0</v>
      </c>
      <c r="E188" s="47">
        <v>2.99</v>
      </c>
      <c r="F188" s="47">
        <v>2.95</v>
      </c>
      <c r="G188" s="47">
        <v>3.19</v>
      </c>
      <c r="H188" s="47">
        <v>3.25</v>
      </c>
      <c r="I188" s="63">
        <v>3.8</v>
      </c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 ht="12.75" customHeight="1">
      <c r="A189" s="14"/>
      <c r="B189" s="14"/>
      <c r="C189" s="14"/>
      <c r="D189" s="47">
        <v>155.0</v>
      </c>
      <c r="E189" s="47">
        <v>2.99</v>
      </c>
      <c r="F189" s="47">
        <v>2.97</v>
      </c>
      <c r="G189" s="47">
        <v>3.21</v>
      </c>
      <c r="H189" s="47">
        <v>3.26</v>
      </c>
      <c r="I189" s="63">
        <v>3.8</v>
      </c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 ht="12.75" customHeight="1">
      <c r="A190" s="14"/>
      <c r="B190" s="14"/>
      <c r="C190" s="14"/>
      <c r="D190" s="14">
        <v>160.0</v>
      </c>
      <c r="E190" s="14">
        <v>2.99</v>
      </c>
      <c r="F190" s="14">
        <v>2.98</v>
      </c>
      <c r="G190" s="14">
        <v>3.23</v>
      </c>
      <c r="H190" s="14">
        <v>3.28</v>
      </c>
      <c r="I190" s="14">
        <v>3.81</v>
      </c>
      <c r="J190" s="14"/>
      <c r="K190" s="14">
        <v>6.0</v>
      </c>
      <c r="L190" s="14">
        <v>1.34</v>
      </c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</row>
    <row r="191" ht="12.75" customHeight="1">
      <c r="A191" s="14"/>
      <c r="B191" s="14"/>
      <c r="C191" s="14"/>
      <c r="D191" s="47">
        <v>165.0</v>
      </c>
      <c r="E191" s="65">
        <v>3.01</v>
      </c>
      <c r="F191" s="65">
        <v>3.0</v>
      </c>
      <c r="G191" s="65">
        <v>3.25</v>
      </c>
      <c r="H191" s="66">
        <v>3.3</v>
      </c>
      <c r="I191" s="14">
        <v>3.81</v>
      </c>
      <c r="J191" s="14"/>
      <c r="K191" s="63"/>
      <c r="L191" s="63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 ht="12.75" customHeight="1">
      <c r="A192" s="14"/>
      <c r="B192" s="14"/>
      <c r="C192" s="14"/>
      <c r="D192" s="14">
        <v>170.0</v>
      </c>
      <c r="E192" s="65">
        <v>3.02</v>
      </c>
      <c r="F192" s="65">
        <v>3.03</v>
      </c>
      <c r="G192" s="65">
        <v>3.27</v>
      </c>
      <c r="H192" s="66">
        <v>3.33</v>
      </c>
      <c r="I192" s="14">
        <v>3.81</v>
      </c>
      <c r="J192" s="14"/>
      <c r="K192" s="63"/>
      <c r="L192" s="63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</row>
    <row r="193" ht="12.75" customHeight="1">
      <c r="A193" s="14"/>
      <c r="B193" s="14"/>
      <c r="C193" s="14"/>
      <c r="D193" s="65">
        <v>175.0</v>
      </c>
      <c r="E193" s="65">
        <v>3.04</v>
      </c>
      <c r="F193" s="65">
        <v>3.06</v>
      </c>
      <c r="G193" s="65">
        <v>3.29</v>
      </c>
      <c r="H193" s="66">
        <v>3.36</v>
      </c>
      <c r="I193" s="65">
        <v>3.81</v>
      </c>
      <c r="J193" s="14"/>
      <c r="K193" s="63"/>
      <c r="L193" s="63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 ht="12.75" customHeight="1">
      <c r="A194" s="14"/>
      <c r="B194" s="14"/>
      <c r="C194" s="14"/>
      <c r="D194" s="65">
        <v>180.0</v>
      </c>
      <c r="E194" s="63">
        <v>3.05</v>
      </c>
      <c r="F194" s="63">
        <v>3.08</v>
      </c>
      <c r="G194" s="63">
        <v>3.31</v>
      </c>
      <c r="H194" s="64">
        <v>3.4</v>
      </c>
      <c r="I194" s="63">
        <v>3.82</v>
      </c>
      <c r="J194" s="14"/>
      <c r="K194" s="63">
        <v>7.0</v>
      </c>
      <c r="L194" s="63">
        <v>1.42</v>
      </c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 ht="12.75" customHeight="1">
      <c r="A195" s="14"/>
      <c r="B195" s="14"/>
      <c r="C195" s="14"/>
      <c r="D195" s="65">
        <v>185.0</v>
      </c>
      <c r="E195" s="47">
        <v>3.07</v>
      </c>
      <c r="F195" s="47">
        <v>3.11</v>
      </c>
      <c r="G195" s="47">
        <v>3.34</v>
      </c>
      <c r="H195" s="47">
        <v>3.43</v>
      </c>
      <c r="I195" s="47">
        <v>3.83</v>
      </c>
      <c r="J195" s="14"/>
      <c r="K195" s="14"/>
      <c r="L195" s="67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</row>
    <row r="196" ht="12.75" customHeight="1">
      <c r="A196" s="14"/>
      <c r="B196" s="14"/>
      <c r="C196" s="14"/>
      <c r="D196" s="63">
        <v>190.0</v>
      </c>
      <c r="E196" s="47">
        <v>3.09</v>
      </c>
      <c r="F196" s="47">
        <v>3.13</v>
      </c>
      <c r="G196" s="47">
        <v>3.37</v>
      </c>
      <c r="H196" s="47">
        <v>3.47</v>
      </c>
      <c r="I196" s="47">
        <v>3.84</v>
      </c>
      <c r="J196" s="14"/>
      <c r="K196" s="14"/>
      <c r="L196" s="67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</row>
    <row r="197" ht="12.75" customHeight="1">
      <c r="A197" s="14"/>
      <c r="B197" s="14"/>
      <c r="C197" s="14"/>
      <c r="D197" s="47">
        <v>195.0</v>
      </c>
      <c r="E197" s="47">
        <v>3.11</v>
      </c>
      <c r="F197" s="47">
        <v>3.16</v>
      </c>
      <c r="G197" s="47">
        <v>3.4</v>
      </c>
      <c r="H197" s="47">
        <v>3.51</v>
      </c>
      <c r="I197" s="47">
        <v>3.86</v>
      </c>
      <c r="J197" s="14"/>
      <c r="K197" s="14"/>
      <c r="L197" s="67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</row>
    <row r="198" ht="12.75" customHeight="1">
      <c r="A198" s="14"/>
      <c r="B198" s="14"/>
      <c r="C198" s="14"/>
      <c r="D198" s="14">
        <v>200.0</v>
      </c>
      <c r="E198" s="14">
        <v>3.12</v>
      </c>
      <c r="F198" s="14">
        <v>3.19</v>
      </c>
      <c r="G198" s="14">
        <v>3.42</v>
      </c>
      <c r="H198" s="14">
        <v>3.55</v>
      </c>
      <c r="I198" s="14">
        <v>3.87</v>
      </c>
      <c r="J198" s="14"/>
      <c r="K198" s="14">
        <v>8.0</v>
      </c>
      <c r="L198" s="67">
        <v>1.5</v>
      </c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</row>
    <row r="199" ht="12.75" customHeight="1">
      <c r="A199" s="14"/>
      <c r="B199" s="14"/>
      <c r="C199" s="14"/>
      <c r="D199" s="65">
        <v>210.0</v>
      </c>
      <c r="E199" s="65">
        <v>3.14</v>
      </c>
      <c r="F199" s="65">
        <v>3.26</v>
      </c>
      <c r="G199" s="65">
        <v>3.48</v>
      </c>
      <c r="H199" s="66">
        <v>3.62</v>
      </c>
      <c r="I199" s="65">
        <v>3.89</v>
      </c>
      <c r="J199" s="14"/>
      <c r="K199" s="63"/>
      <c r="L199" s="63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</row>
    <row r="200" ht="12.75" customHeight="1">
      <c r="A200" s="14"/>
      <c r="B200" s="14"/>
      <c r="C200" s="14"/>
      <c r="D200" s="63">
        <v>220.0</v>
      </c>
      <c r="E200" s="63">
        <v>3.17</v>
      </c>
      <c r="F200" s="63">
        <v>3.32</v>
      </c>
      <c r="G200" s="63">
        <v>3.53</v>
      </c>
      <c r="H200" s="64">
        <v>3.7</v>
      </c>
      <c r="I200" s="63">
        <v>3.92</v>
      </c>
      <c r="J200" s="14"/>
      <c r="K200" s="63">
        <v>9.0</v>
      </c>
      <c r="L200" s="63">
        <v>1.56</v>
      </c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 ht="12.75" customHeight="1">
      <c r="A201" s="14"/>
      <c r="B201" s="14"/>
      <c r="C201" s="14"/>
      <c r="D201" s="47">
        <v>230.0</v>
      </c>
      <c r="E201" s="47">
        <v>3.21</v>
      </c>
      <c r="F201" s="47">
        <v>3.39</v>
      </c>
      <c r="G201" s="47">
        <v>3.8</v>
      </c>
      <c r="H201" s="47">
        <v>3.77</v>
      </c>
      <c r="I201" s="47">
        <v>3.95</v>
      </c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</row>
    <row r="202" ht="12.75" customHeight="1">
      <c r="A202" s="14"/>
      <c r="B202" s="14"/>
      <c r="C202" s="14"/>
      <c r="D202" s="14">
        <v>240.0</v>
      </c>
      <c r="E202" s="14">
        <v>3.25</v>
      </c>
      <c r="F202" s="14">
        <v>3.45</v>
      </c>
      <c r="G202" s="14">
        <v>3.64</v>
      </c>
      <c r="H202" s="14">
        <v>3.84</v>
      </c>
      <c r="I202" s="14">
        <v>3.97</v>
      </c>
      <c r="J202" s="14"/>
      <c r="K202" s="14">
        <v>10.0</v>
      </c>
      <c r="L202" s="14">
        <v>1.61</v>
      </c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</row>
    <row r="203" ht="12.75" customHeight="1">
      <c r="A203" s="14"/>
      <c r="B203" s="14"/>
      <c r="C203" s="14"/>
      <c r="D203" s="65">
        <v>250.0</v>
      </c>
      <c r="E203" s="65">
        <v>3.35</v>
      </c>
      <c r="F203" s="65">
        <v>3.52</v>
      </c>
      <c r="G203" s="65">
        <v>3.69</v>
      </c>
      <c r="H203" s="65">
        <v>3.88</v>
      </c>
      <c r="I203" s="65">
        <v>4.0</v>
      </c>
      <c r="J203" s="14"/>
      <c r="K203" s="63"/>
      <c r="L203" s="63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</row>
    <row r="204" ht="12.75" customHeight="1">
      <c r="A204" s="14"/>
      <c r="B204" s="14"/>
      <c r="C204" s="14"/>
      <c r="D204" s="63">
        <v>260.0</v>
      </c>
      <c r="E204" s="63">
        <v>3.45</v>
      </c>
      <c r="F204" s="63">
        <v>3.58</v>
      </c>
      <c r="G204" s="63">
        <v>3.74</v>
      </c>
      <c r="H204" s="63">
        <v>3.93</v>
      </c>
      <c r="I204" s="63">
        <v>4.03</v>
      </c>
      <c r="J204" s="14"/>
      <c r="K204" s="63">
        <v>15.0</v>
      </c>
      <c r="L204" s="63">
        <v>1.78</v>
      </c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</row>
    <row r="205" ht="12.75" customHeight="1">
      <c r="A205" s="14"/>
      <c r="B205" s="14"/>
      <c r="C205" s="14"/>
      <c r="D205" s="47">
        <v>270.0</v>
      </c>
      <c r="E205" s="47">
        <v>3.55</v>
      </c>
      <c r="F205" s="47">
        <v>3.63</v>
      </c>
      <c r="G205" s="47">
        <v>3.78</v>
      </c>
      <c r="H205" s="69">
        <v>3.96</v>
      </c>
      <c r="I205" s="69">
        <v>4.07</v>
      </c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</row>
    <row r="206" ht="12.75" customHeight="1">
      <c r="A206" s="14"/>
      <c r="B206" s="14"/>
      <c r="C206" s="14"/>
      <c r="D206" s="14">
        <v>280.0</v>
      </c>
      <c r="E206" s="14">
        <v>3.65</v>
      </c>
      <c r="F206" s="14">
        <v>3.69</v>
      </c>
      <c r="G206" s="14">
        <v>3.83</v>
      </c>
      <c r="H206" s="67">
        <v>4.0</v>
      </c>
      <c r="I206" s="67">
        <v>4.1</v>
      </c>
      <c r="J206" s="14"/>
      <c r="K206" s="14">
        <v>20.0</v>
      </c>
      <c r="L206" s="14">
        <v>1.87</v>
      </c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</row>
    <row r="207" ht="12.75" customHeight="1">
      <c r="A207" s="14"/>
      <c r="B207" s="14"/>
      <c r="C207" s="14"/>
      <c r="D207" s="65">
        <v>290.0</v>
      </c>
      <c r="E207" s="65">
        <v>3.68</v>
      </c>
      <c r="F207" s="65">
        <v>3.74</v>
      </c>
      <c r="G207" s="66">
        <v>3.87</v>
      </c>
      <c r="H207" s="65">
        <v>4.02</v>
      </c>
      <c r="I207" s="66">
        <v>4.15</v>
      </c>
      <c r="J207" s="14"/>
      <c r="K207" s="63"/>
      <c r="L207" s="63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</row>
    <row r="208" ht="12.75" customHeight="1">
      <c r="A208" s="14"/>
      <c r="B208" s="14"/>
      <c r="C208" s="14"/>
      <c r="D208" s="63">
        <v>300.0</v>
      </c>
      <c r="E208" s="63">
        <v>3.71</v>
      </c>
      <c r="F208" s="63">
        <v>3.78</v>
      </c>
      <c r="G208" s="64">
        <v>3.9</v>
      </c>
      <c r="H208" s="63">
        <v>4.04</v>
      </c>
      <c r="I208" s="64">
        <v>4.2</v>
      </c>
      <c r="J208" s="14"/>
      <c r="K208" s="63">
        <v>30.0</v>
      </c>
      <c r="L208" s="63">
        <v>1.98</v>
      </c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</row>
    <row r="209" ht="12.75" customHeight="1">
      <c r="A209" s="14"/>
      <c r="B209" s="14"/>
      <c r="C209" s="14"/>
      <c r="D209" s="14">
        <v>320.0</v>
      </c>
      <c r="E209" s="14">
        <v>3.79</v>
      </c>
      <c r="F209" s="14">
        <v>3.84</v>
      </c>
      <c r="G209" s="14">
        <v>3.95</v>
      </c>
      <c r="H209" s="14">
        <v>4.12</v>
      </c>
      <c r="I209" s="14">
        <v>4.31</v>
      </c>
      <c r="J209" s="14"/>
      <c r="K209" s="14">
        <v>40.0</v>
      </c>
      <c r="L209" s="14">
        <v>2.06</v>
      </c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</row>
    <row r="210" ht="12.75" customHeight="1">
      <c r="A210" s="14"/>
      <c r="B210" s="14"/>
      <c r="C210" s="14"/>
      <c r="D210" s="63">
        <v>340.0</v>
      </c>
      <c r="E210" s="63">
        <v>3.86</v>
      </c>
      <c r="F210" s="63">
        <v>3.88</v>
      </c>
      <c r="G210" s="63">
        <v>4.02</v>
      </c>
      <c r="H210" s="63">
        <v>4.26</v>
      </c>
      <c r="I210" s="63">
        <v>4.44</v>
      </c>
      <c r="J210" s="14"/>
      <c r="K210" s="63">
        <v>50.0</v>
      </c>
      <c r="L210" s="63">
        <v>2.14</v>
      </c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</row>
    <row r="211" ht="12.75" customHeight="1">
      <c r="A211" s="14"/>
      <c r="B211" s="14"/>
      <c r="C211" s="14"/>
      <c r="D211" s="14">
        <v>360.0</v>
      </c>
      <c r="E211" s="14">
        <v>3.92</v>
      </c>
      <c r="F211" s="14">
        <v>3.95</v>
      </c>
      <c r="G211" s="14">
        <v>4.11</v>
      </c>
      <c r="H211" s="14">
        <v>4.41</v>
      </c>
      <c r="I211" s="14">
        <v>4.56</v>
      </c>
      <c r="J211" s="14"/>
      <c r="K211" s="14">
        <v>60.0</v>
      </c>
      <c r="L211" s="14">
        <v>2.21</v>
      </c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 ht="12.75" customHeight="1">
      <c r="A212" s="14"/>
      <c r="B212" s="14"/>
      <c r="C212" s="14"/>
      <c r="D212" s="63">
        <v>380.0</v>
      </c>
      <c r="E212" s="63">
        <v>3.96</v>
      </c>
      <c r="F212" s="63">
        <v>4.03</v>
      </c>
      <c r="G212" s="63">
        <v>4.21</v>
      </c>
      <c r="H212" s="63">
        <v>4.55</v>
      </c>
      <c r="I212" s="63">
        <v>4.66</v>
      </c>
      <c r="J212" s="14"/>
      <c r="K212" s="63">
        <v>90.0</v>
      </c>
      <c r="L212" s="64">
        <v>2.4</v>
      </c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</row>
    <row r="213" ht="12.75" customHeight="1">
      <c r="A213" s="14"/>
      <c r="B213" s="14"/>
      <c r="C213" s="14"/>
      <c r="D213" s="14">
        <v>400.0</v>
      </c>
      <c r="E213" s="14">
        <v>3.99</v>
      </c>
      <c r="F213" s="14">
        <v>4.11</v>
      </c>
      <c r="G213" s="67">
        <v>4.3</v>
      </c>
      <c r="H213" s="14">
        <v>4.69</v>
      </c>
      <c r="I213" s="14">
        <v>4.75</v>
      </c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</row>
    <row r="214" ht="12.75" customHeight="1">
      <c r="A214" s="14"/>
      <c r="B214" s="14"/>
      <c r="C214" s="14"/>
      <c r="D214" s="63">
        <v>420.0</v>
      </c>
      <c r="E214" s="63">
        <v>4.02</v>
      </c>
      <c r="F214" s="63">
        <v>4.15</v>
      </c>
      <c r="G214" s="63">
        <v>4.34</v>
      </c>
      <c r="H214" s="63">
        <v>4.73</v>
      </c>
      <c r="I214" s="63">
        <v>4.79</v>
      </c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 ht="12.75" customHeight="1">
      <c r="A215" s="14"/>
      <c r="B215" s="14"/>
      <c r="C215" s="14"/>
      <c r="D215" s="14">
        <v>440.0</v>
      </c>
      <c r="E215" s="14">
        <v>4.08</v>
      </c>
      <c r="F215" s="67">
        <v>4.2</v>
      </c>
      <c r="G215" s="14">
        <v>4.39</v>
      </c>
      <c r="H215" s="14">
        <v>4.78</v>
      </c>
      <c r="I215" s="14">
        <v>4.84</v>
      </c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 ht="12.75" customHeight="1">
      <c r="A216" s="14"/>
      <c r="B216" s="14"/>
      <c r="C216" s="14"/>
      <c r="D216" s="63">
        <v>460.0</v>
      </c>
      <c r="E216" s="63">
        <v>4.17</v>
      </c>
      <c r="F216" s="63">
        <v>4.29</v>
      </c>
      <c r="G216" s="63">
        <v>4.48</v>
      </c>
      <c r="H216" s="63">
        <v>4.87</v>
      </c>
      <c r="I216" s="63">
        <v>4.93</v>
      </c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</row>
    <row r="217" ht="12.75" customHeight="1">
      <c r="A217" s="14"/>
      <c r="B217" s="14"/>
      <c r="C217" s="14"/>
      <c r="D217" s="14">
        <v>480.0</v>
      </c>
      <c r="E217" s="14">
        <v>4.28</v>
      </c>
      <c r="F217" s="67">
        <v>4.4</v>
      </c>
      <c r="G217" s="14">
        <v>4.59</v>
      </c>
      <c r="H217" s="14">
        <v>4.98</v>
      </c>
      <c r="I217" s="14">
        <v>5.04</v>
      </c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</row>
    <row r="218" ht="12.75" customHeight="1">
      <c r="A218" s="14"/>
      <c r="B218" s="14"/>
      <c r="C218" s="14"/>
      <c r="D218" s="63">
        <v>500.0</v>
      </c>
      <c r="E218" s="63">
        <v>4.41</v>
      </c>
      <c r="F218" s="63">
        <v>4.53</v>
      </c>
      <c r="G218" s="63">
        <v>4.72</v>
      </c>
      <c r="H218" s="63">
        <v>5.11</v>
      </c>
      <c r="I218" s="63">
        <v>5.17</v>
      </c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</row>
    <row r="219" ht="12.75" customHeight="1">
      <c r="A219" s="14"/>
      <c r="B219" s="14"/>
      <c r="C219" s="14"/>
      <c r="D219" s="14">
        <v>520.0</v>
      </c>
      <c r="E219" s="14">
        <v>4.54</v>
      </c>
      <c r="F219" s="14">
        <v>4.85</v>
      </c>
      <c r="G219" s="14">
        <v>4.85</v>
      </c>
      <c r="H219" s="14">
        <v>5.24</v>
      </c>
      <c r="I219" s="67">
        <v>5.3</v>
      </c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</row>
    <row r="220" ht="12.75" customHeight="1">
      <c r="A220" s="14"/>
      <c r="B220" s="14"/>
      <c r="C220" s="14"/>
      <c r="D220" s="63">
        <v>540.0</v>
      </c>
      <c r="E220" s="63">
        <v>4.65</v>
      </c>
      <c r="F220" s="63">
        <v>4.97</v>
      </c>
      <c r="G220" s="63">
        <v>4.97</v>
      </c>
      <c r="H220" s="63">
        <v>5.36</v>
      </c>
      <c r="I220" s="63">
        <v>5.42</v>
      </c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 ht="12.75" customHeight="1">
      <c r="A221" s="14"/>
      <c r="B221" s="14"/>
      <c r="C221" s="14"/>
      <c r="D221" s="14">
        <v>560.0</v>
      </c>
      <c r="E221" s="14">
        <v>4.74</v>
      </c>
      <c r="F221" s="14">
        <v>5.05</v>
      </c>
      <c r="G221" s="14">
        <v>5.05</v>
      </c>
      <c r="H221" s="14">
        <v>5.44</v>
      </c>
      <c r="I221" s="67">
        <v>5.5</v>
      </c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</row>
    <row r="222" ht="12.75" customHeight="1">
      <c r="A222" s="14"/>
      <c r="B222" s="14"/>
      <c r="C222" s="14"/>
      <c r="D222" s="63">
        <v>580.0</v>
      </c>
      <c r="E222" s="63">
        <v>4.79</v>
      </c>
      <c r="F222" s="64">
        <v>5.1</v>
      </c>
      <c r="G222" s="64">
        <v>5.1</v>
      </c>
      <c r="H222" s="63">
        <v>5.49</v>
      </c>
      <c r="I222" s="63">
        <v>5.55</v>
      </c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</row>
    <row r="223" ht="12.75" customHeight="1">
      <c r="A223" s="14"/>
      <c r="B223" s="14"/>
      <c r="C223" s="14"/>
      <c r="D223" s="14">
        <v>600.0</v>
      </c>
      <c r="E223" s="14">
        <v>4.82</v>
      </c>
      <c r="F223" s="14">
        <v>5.13</v>
      </c>
      <c r="G223" s="14">
        <v>5.13</v>
      </c>
      <c r="H223" s="14">
        <v>5.52</v>
      </c>
      <c r="I223" s="14">
        <v>5.58</v>
      </c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</row>
    <row r="224" ht="12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</row>
    <row r="225" ht="12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</row>
    <row r="226" ht="12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</row>
    <row r="227" ht="12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</row>
    <row r="228" ht="12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</row>
    <row r="229" ht="12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</row>
    <row r="230" ht="12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</row>
    <row r="231" ht="12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</row>
    <row r="232" ht="12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</row>
    <row r="233" ht="12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</row>
    <row r="234" ht="12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</row>
    <row r="235" ht="12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</row>
    <row r="236" ht="12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</row>
    <row r="237" ht="12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</row>
    <row r="238" ht="12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</row>
    <row r="239" ht="12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</row>
    <row r="240" ht="12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</row>
    <row r="241" ht="12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</row>
    <row r="242" ht="12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</row>
    <row r="243" ht="12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</row>
    <row r="244" ht="12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</row>
    <row r="245" ht="12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</row>
    <row r="246" ht="12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</row>
    <row r="247" ht="12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</row>
    <row r="248" ht="12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</row>
    <row r="249" ht="12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</row>
    <row r="250" ht="12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</row>
    <row r="251" ht="12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</row>
    <row r="252" ht="12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</row>
    <row r="253" ht="12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</row>
    <row r="254" ht="12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</row>
    <row r="255" ht="12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</row>
    <row r="256" ht="12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</row>
    <row r="257" ht="12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</row>
    <row r="258" ht="12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</row>
    <row r="259" ht="12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</row>
    <row r="260" ht="12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</row>
    <row r="261" ht="12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</row>
    <row r="262" ht="12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</row>
    <row r="263" ht="12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</row>
    <row r="264" ht="12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</row>
    <row r="265" ht="12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</row>
    <row r="266" ht="12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</row>
    <row r="267" ht="12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</row>
    <row r="268" ht="12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</row>
    <row r="269" ht="12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</row>
    <row r="270" ht="12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</row>
    <row r="271" ht="12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</row>
    <row r="272" ht="12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</row>
    <row r="273" ht="12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</row>
    <row r="274" ht="12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</row>
    <row r="275" ht="12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</row>
    <row r="276" ht="12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</row>
    <row r="277" ht="12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</row>
    <row r="278" ht="12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</row>
    <row r="279" ht="12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</row>
    <row r="280" ht="12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</row>
    <row r="281" ht="12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</row>
    <row r="282" ht="12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</row>
    <row r="283" ht="12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</row>
    <row r="284" ht="12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</row>
    <row r="285" ht="12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</row>
    <row r="286" ht="12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</row>
    <row r="287" ht="12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</row>
    <row r="288" ht="12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</row>
    <row r="289" ht="12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</row>
    <row r="290" ht="12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</row>
    <row r="291" ht="12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</row>
    <row r="292" ht="12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</row>
    <row r="293" ht="12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</row>
    <row r="294" ht="12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</row>
    <row r="295" ht="12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</row>
    <row r="296" ht="12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</row>
    <row r="297" ht="12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</row>
    <row r="298" ht="12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</row>
    <row r="299" ht="12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</row>
    <row r="300" ht="12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</row>
    <row r="301" ht="12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</row>
    <row r="302" ht="12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</row>
    <row r="303" ht="12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</row>
    <row r="304" ht="12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</row>
    <row r="305" ht="12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</row>
    <row r="306" ht="12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</row>
    <row r="307" ht="12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</row>
    <row r="308" ht="12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</row>
    <row r="309" ht="12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</row>
    <row r="310" ht="12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</row>
    <row r="311" ht="12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</row>
    <row r="312" ht="12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</row>
    <row r="313" ht="12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</row>
    <row r="314" ht="12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</row>
    <row r="315" ht="12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</row>
    <row r="316" ht="12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</row>
    <row r="317" ht="12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</row>
    <row r="318" ht="12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</row>
    <row r="319" ht="12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</row>
    <row r="320" ht="12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</row>
    <row r="321" ht="12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</row>
    <row r="322" ht="12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</row>
    <row r="323" ht="12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</row>
    <row r="324" ht="12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</row>
    <row r="325" ht="12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</row>
    <row r="326" ht="12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</row>
    <row r="327" ht="12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</row>
    <row r="328" ht="12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</row>
    <row r="329" ht="12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</row>
    <row r="330" ht="12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</row>
    <row r="331" ht="12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</row>
    <row r="332" ht="12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</row>
    <row r="333" ht="12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</row>
    <row r="334" ht="12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</row>
    <row r="335" ht="12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</row>
    <row r="336" ht="12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</row>
    <row r="337" ht="12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</row>
    <row r="338" ht="12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</row>
    <row r="339" ht="12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</row>
    <row r="340" ht="12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</row>
    <row r="341" ht="12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</row>
    <row r="342" ht="12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</row>
    <row r="343" ht="12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</row>
    <row r="344" ht="12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</row>
    <row r="345" ht="12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</row>
    <row r="346" ht="12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</row>
    <row r="347" ht="12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</row>
    <row r="348" ht="12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</row>
    <row r="349" ht="12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</row>
    <row r="350" ht="12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</row>
    <row r="351" ht="12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</row>
    <row r="352" ht="12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</row>
    <row r="353" ht="12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</row>
    <row r="354" ht="12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</row>
    <row r="355" ht="12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</row>
    <row r="356" ht="12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</row>
    <row r="357" ht="12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</row>
    <row r="358" ht="12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</row>
    <row r="359" ht="12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</row>
    <row r="360" ht="12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</row>
    <row r="361" ht="12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</row>
    <row r="362" ht="12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</row>
    <row r="363" ht="12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</row>
    <row r="364" ht="12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</row>
    <row r="365" ht="12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</row>
    <row r="366" ht="12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</row>
    <row r="367" ht="12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</row>
    <row r="368" ht="12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</row>
    <row r="369" ht="12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</row>
    <row r="370" ht="12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</row>
    <row r="371" ht="12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</row>
    <row r="372" ht="12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</row>
    <row r="373" ht="12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</row>
    <row r="374" ht="12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</row>
    <row r="375" ht="12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</row>
    <row r="376" ht="12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</row>
    <row r="377" ht="12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</row>
    <row r="378" ht="12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</row>
    <row r="379" ht="12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</row>
    <row r="380" ht="12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</row>
    <row r="381" ht="12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</row>
    <row r="382" ht="12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</row>
    <row r="383" ht="12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</row>
    <row r="384" ht="12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</row>
    <row r="385" ht="12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</row>
    <row r="386" ht="12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</row>
    <row r="387" ht="12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</row>
    <row r="388" ht="12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</row>
    <row r="389" ht="12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</row>
    <row r="390" ht="12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</row>
    <row r="391" ht="12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</row>
    <row r="392" ht="12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</row>
    <row r="393" ht="12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</row>
    <row r="394" ht="12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</row>
    <row r="395" ht="12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</row>
    <row r="396" ht="12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</row>
    <row r="397" ht="12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</row>
    <row r="398" ht="12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</row>
    <row r="399" ht="12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</row>
    <row r="400" ht="12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</row>
    <row r="401" ht="12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</row>
    <row r="402" ht="12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</row>
    <row r="403" ht="12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</row>
    <row r="404" ht="12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</row>
    <row r="405" ht="12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</row>
    <row r="406" ht="12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</row>
    <row r="407" ht="12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</row>
    <row r="408" ht="12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</row>
    <row r="409" ht="12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</row>
    <row r="410" ht="12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</row>
    <row r="411" ht="12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</row>
    <row r="412" ht="12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</row>
    <row r="413" ht="12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</row>
    <row r="414" ht="12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</row>
    <row r="415" ht="12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</row>
    <row r="416" ht="12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</row>
    <row r="417" ht="12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</row>
    <row r="418" ht="12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</row>
    <row r="419" ht="12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</row>
    <row r="420" ht="12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</row>
    <row r="421" ht="12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</row>
    <row r="422" ht="12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</row>
    <row r="423" ht="12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</row>
    <row r="424" ht="12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</row>
    <row r="425" ht="12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</row>
    <row r="426" ht="12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</row>
    <row r="427" ht="12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</row>
    <row r="428" ht="12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</row>
    <row r="429" ht="12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</row>
    <row r="430" ht="12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</row>
    <row r="431" ht="12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</row>
    <row r="432" ht="12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</row>
    <row r="433" ht="12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</row>
    <row r="434" ht="12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</row>
    <row r="435" ht="12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</row>
    <row r="436" ht="12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</row>
    <row r="437" ht="12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</row>
    <row r="438" ht="12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</row>
    <row r="439" ht="12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</row>
    <row r="440" ht="12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</row>
    <row r="441" ht="12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</row>
    <row r="442" ht="12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</row>
    <row r="443" ht="12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</row>
    <row r="444" ht="12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</row>
    <row r="445" ht="12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</row>
    <row r="446" ht="12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</row>
    <row r="447" ht="12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</row>
    <row r="448" ht="12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</row>
    <row r="449" ht="12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</row>
    <row r="450" ht="12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</row>
    <row r="451" ht="12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</row>
    <row r="452" ht="12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</row>
    <row r="453" ht="12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</row>
    <row r="454" ht="12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</row>
    <row r="455" ht="12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</row>
    <row r="456" ht="12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</row>
    <row r="457" ht="12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</row>
    <row r="458" ht="12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</row>
    <row r="459" ht="12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</row>
    <row r="460" ht="12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</row>
    <row r="461" ht="12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</row>
    <row r="462" ht="12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</row>
    <row r="463" ht="12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</row>
    <row r="464" ht="12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</row>
    <row r="465" ht="12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</row>
    <row r="466" ht="12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</row>
    <row r="467" ht="12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</row>
    <row r="468" ht="12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</row>
    <row r="469" ht="12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</row>
    <row r="470" ht="12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</row>
    <row r="471" ht="12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</row>
    <row r="472" ht="12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</row>
    <row r="473" ht="12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</row>
    <row r="474" ht="12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</row>
    <row r="475" ht="12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</row>
    <row r="476" ht="12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</row>
    <row r="477" ht="12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</row>
    <row r="478" ht="12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</row>
    <row r="479" ht="12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</row>
    <row r="480" ht="12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</row>
    <row r="481" ht="12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</row>
    <row r="482" ht="12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</row>
    <row r="483" ht="12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</row>
    <row r="484" ht="12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</row>
    <row r="485" ht="12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</row>
    <row r="486" ht="12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</row>
    <row r="487" ht="12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</row>
    <row r="488" ht="12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</row>
    <row r="489" ht="12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</row>
    <row r="490" ht="12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</row>
    <row r="491" ht="12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</row>
    <row r="492" ht="12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</row>
    <row r="493" ht="12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</row>
    <row r="494" ht="12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</row>
    <row r="495" ht="12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</row>
    <row r="496" ht="12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</row>
    <row r="497" ht="12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</row>
    <row r="498" ht="12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</row>
    <row r="499" ht="12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</row>
    <row r="500" ht="12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</row>
    <row r="501" ht="12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</row>
    <row r="502" ht="12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</row>
    <row r="503" ht="12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</row>
    <row r="504" ht="12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</row>
    <row r="505" ht="12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</row>
    <row r="506" ht="12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</row>
    <row r="507" ht="12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</row>
    <row r="508" ht="12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</row>
    <row r="509" ht="12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</row>
    <row r="510" ht="12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</row>
    <row r="511" ht="12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</row>
    <row r="512" ht="12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</row>
    <row r="513" ht="12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</row>
    <row r="514" ht="12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</row>
    <row r="515" ht="12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</row>
    <row r="516" ht="12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</row>
    <row r="517" ht="12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</row>
    <row r="518" ht="12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</row>
    <row r="519" ht="12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</row>
    <row r="520" ht="12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</row>
    <row r="521" ht="12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</row>
    <row r="522" ht="12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</row>
    <row r="523" ht="12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</row>
    <row r="524" ht="12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</row>
    <row r="525" ht="12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</row>
    <row r="526" ht="12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</row>
    <row r="527" ht="12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</row>
    <row r="528" ht="12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</row>
    <row r="529" ht="12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</row>
    <row r="530" ht="12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</row>
    <row r="531" ht="12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</row>
    <row r="532" ht="12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</row>
    <row r="533" ht="12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</row>
    <row r="534" ht="12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</row>
    <row r="535" ht="12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</row>
    <row r="536" ht="12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</row>
    <row r="537" ht="12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</row>
    <row r="538" ht="12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</row>
    <row r="539" ht="12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</row>
    <row r="540" ht="12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</row>
    <row r="541" ht="12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</row>
    <row r="542" ht="12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</row>
    <row r="543" ht="12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</row>
    <row r="544" ht="12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</row>
    <row r="545" ht="12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</row>
    <row r="546" ht="12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</row>
    <row r="547" ht="12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</row>
    <row r="548" ht="12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</row>
    <row r="549" ht="12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</row>
    <row r="550" ht="12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</row>
    <row r="551" ht="12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</row>
    <row r="552" ht="12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</row>
    <row r="553" ht="12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</row>
    <row r="554" ht="12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</row>
    <row r="555" ht="12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</row>
    <row r="556" ht="12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</row>
    <row r="557" ht="12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</row>
    <row r="558" ht="12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</row>
    <row r="559" ht="12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</row>
    <row r="560" ht="12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</row>
    <row r="561" ht="12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</row>
    <row r="562" ht="12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</row>
    <row r="563" ht="12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</row>
    <row r="564" ht="12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</row>
    <row r="565" ht="12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</row>
    <row r="566" ht="12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</row>
    <row r="567" ht="12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</row>
    <row r="568" ht="12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</row>
    <row r="569" ht="12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</row>
    <row r="570" ht="12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</row>
    <row r="571" ht="12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</row>
    <row r="572" ht="12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</row>
    <row r="573" ht="12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</row>
    <row r="574" ht="12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</row>
    <row r="575" ht="12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</row>
    <row r="576" ht="12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</row>
    <row r="577" ht="12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</row>
    <row r="578" ht="12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</row>
    <row r="579" ht="12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</row>
    <row r="580" ht="12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</row>
    <row r="581" ht="12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</row>
    <row r="582" ht="12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</row>
    <row r="583" ht="12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</row>
    <row r="584" ht="12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</row>
    <row r="585" ht="12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</row>
    <row r="586" ht="12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</row>
    <row r="587" ht="12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</row>
    <row r="588" ht="12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</row>
    <row r="589" ht="12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</row>
    <row r="590" ht="12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</row>
    <row r="591" ht="12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</row>
    <row r="592" ht="12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</row>
    <row r="593" ht="12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</row>
    <row r="594" ht="12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</row>
    <row r="595" ht="12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</row>
    <row r="596" ht="12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</row>
    <row r="597" ht="12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</row>
    <row r="598" ht="12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</row>
    <row r="599" ht="12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</row>
    <row r="600" ht="12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</row>
    <row r="601" ht="12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</row>
    <row r="602" ht="12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</row>
    <row r="603" ht="12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</row>
    <row r="604" ht="12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</row>
    <row r="605" ht="12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</row>
    <row r="606" ht="12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</row>
    <row r="607" ht="12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</row>
    <row r="608" ht="12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</row>
    <row r="609" ht="12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</row>
    <row r="610" ht="12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</row>
    <row r="611" ht="12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</row>
    <row r="612" ht="12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</row>
    <row r="613" ht="12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</row>
    <row r="614" ht="12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</row>
    <row r="615" ht="12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</row>
    <row r="616" ht="12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</row>
    <row r="617" ht="12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</row>
    <row r="618" ht="12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</row>
    <row r="619" ht="12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</row>
    <row r="620" ht="12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</row>
    <row r="621" ht="12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</row>
    <row r="622" ht="12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</row>
    <row r="623" ht="12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</row>
    <row r="624" ht="12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</row>
    <row r="625" ht="12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</row>
    <row r="626" ht="12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</row>
    <row r="627" ht="12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</row>
    <row r="628" ht="12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</row>
    <row r="629" ht="12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</row>
    <row r="630" ht="12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</row>
    <row r="631" ht="12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</row>
    <row r="632" ht="12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</row>
    <row r="633" ht="12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</row>
    <row r="634" ht="12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</row>
    <row r="635" ht="12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</row>
    <row r="636" ht="12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</row>
    <row r="637" ht="12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</row>
    <row r="638" ht="12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</row>
    <row r="639" ht="12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</row>
    <row r="640" ht="12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</row>
    <row r="641" ht="12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</row>
    <row r="642" ht="12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</row>
    <row r="643" ht="12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</row>
    <row r="644" ht="12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</row>
    <row r="645" ht="12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</row>
    <row r="646" ht="12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</row>
    <row r="647" ht="12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</row>
    <row r="648" ht="12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</row>
    <row r="649" ht="12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</row>
    <row r="650" ht="12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</row>
    <row r="651" ht="12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</row>
    <row r="652" ht="12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</row>
    <row r="653" ht="12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</row>
    <row r="654" ht="12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</row>
    <row r="655" ht="12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</row>
    <row r="656" ht="12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</row>
    <row r="657" ht="12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</row>
    <row r="658" ht="12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</row>
    <row r="659" ht="12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</row>
    <row r="660" ht="12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</row>
    <row r="661" ht="12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</row>
    <row r="662" ht="12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</row>
    <row r="663" ht="12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</row>
    <row r="664" ht="12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</row>
    <row r="665" ht="12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</row>
    <row r="666" ht="12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</row>
    <row r="667" ht="12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</row>
    <row r="668" ht="12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</row>
    <row r="669" ht="12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</row>
    <row r="670" ht="12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</row>
    <row r="671" ht="12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</row>
    <row r="672" ht="12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</row>
    <row r="673" ht="12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</row>
    <row r="674" ht="12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</row>
    <row r="675" ht="12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</row>
    <row r="676" ht="12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</row>
    <row r="677" ht="12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</row>
    <row r="678" ht="12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</row>
    <row r="679" ht="12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</row>
    <row r="680" ht="12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</row>
    <row r="681" ht="12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</row>
    <row r="682" ht="12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</row>
    <row r="683" ht="12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</row>
    <row r="684" ht="12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</row>
    <row r="685" ht="12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</row>
    <row r="686" ht="12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</row>
    <row r="687" ht="12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</row>
    <row r="688" ht="12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</row>
    <row r="689" ht="12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</row>
    <row r="690" ht="12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</row>
    <row r="691" ht="12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</row>
    <row r="692" ht="12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</row>
    <row r="693" ht="12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</row>
    <row r="694" ht="12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</row>
    <row r="695" ht="12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</row>
    <row r="696" ht="12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</row>
    <row r="697" ht="12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</row>
    <row r="698" ht="12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</row>
    <row r="699" ht="12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</row>
    <row r="700" ht="12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</row>
    <row r="701" ht="12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</row>
    <row r="702" ht="12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</row>
    <row r="703" ht="12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</row>
    <row r="704" ht="12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</row>
    <row r="705" ht="12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</row>
    <row r="706" ht="12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</row>
    <row r="707" ht="12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</row>
    <row r="708" ht="12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</row>
    <row r="709" ht="12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</row>
    <row r="710" ht="12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</row>
    <row r="711" ht="12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</row>
    <row r="712" ht="12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</row>
    <row r="713" ht="12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</row>
    <row r="714" ht="12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</row>
    <row r="715" ht="12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</row>
    <row r="716" ht="12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</row>
    <row r="717" ht="12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</row>
    <row r="718" ht="12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</row>
    <row r="719" ht="12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</row>
    <row r="720" ht="12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</row>
    <row r="721" ht="12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</row>
    <row r="722" ht="12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</row>
    <row r="723" ht="12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</row>
    <row r="724" ht="12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</row>
    <row r="725" ht="12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</row>
    <row r="726" ht="12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</row>
    <row r="727" ht="12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</row>
    <row r="728" ht="12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</row>
    <row r="729" ht="12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</row>
    <row r="730" ht="12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</row>
    <row r="731" ht="12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</row>
    <row r="732" ht="12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</row>
    <row r="733" ht="12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</row>
    <row r="734" ht="12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</row>
    <row r="735" ht="12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</row>
    <row r="736" ht="12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</row>
    <row r="737" ht="12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</row>
    <row r="738" ht="12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</row>
    <row r="739" ht="12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</row>
    <row r="740" ht="12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</row>
    <row r="741" ht="12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</row>
    <row r="742" ht="12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</row>
    <row r="743" ht="12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</row>
    <row r="744" ht="12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</row>
    <row r="745" ht="12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</row>
    <row r="746" ht="12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</row>
    <row r="747" ht="12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</row>
    <row r="748" ht="12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</row>
    <row r="749" ht="12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</row>
    <row r="750" ht="12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</row>
    <row r="751" ht="12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</row>
    <row r="752" ht="12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</row>
    <row r="753" ht="12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</row>
    <row r="754" ht="12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</row>
    <row r="755" ht="12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</row>
    <row r="756" ht="12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</row>
    <row r="757" ht="12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</row>
    <row r="758" ht="12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</row>
    <row r="759" ht="12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</row>
    <row r="760" ht="12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</row>
    <row r="761" ht="12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</row>
    <row r="762" ht="12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</row>
    <row r="763" ht="12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</row>
    <row r="764" ht="12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</row>
    <row r="765" ht="12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</row>
    <row r="766" ht="12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</row>
    <row r="767" ht="12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</row>
    <row r="768" ht="12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</row>
    <row r="769" ht="12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</row>
    <row r="770" ht="12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</row>
    <row r="771" ht="12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</row>
    <row r="772" ht="12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</row>
    <row r="773" ht="12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</row>
    <row r="774" ht="12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</row>
    <row r="775" ht="12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</row>
    <row r="776" ht="12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</row>
    <row r="777" ht="12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</row>
    <row r="778" ht="12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</row>
    <row r="779" ht="12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</row>
    <row r="780" ht="12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</row>
    <row r="781" ht="12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</row>
    <row r="782" ht="12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</row>
    <row r="783" ht="12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</row>
    <row r="784" ht="12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</row>
    <row r="785" ht="12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</row>
    <row r="786" ht="12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</row>
    <row r="787" ht="12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</row>
    <row r="788" ht="12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</row>
    <row r="789" ht="12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</row>
    <row r="790" ht="12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</row>
    <row r="791" ht="12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</row>
    <row r="792" ht="12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</row>
    <row r="793" ht="12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</row>
    <row r="794" ht="12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</row>
    <row r="795" ht="12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</row>
    <row r="796" ht="12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</row>
    <row r="797" ht="12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</row>
    <row r="798" ht="12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</row>
    <row r="799" ht="12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</row>
    <row r="800" ht="12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</row>
    <row r="801" ht="12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</row>
    <row r="802" ht="12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</row>
    <row r="803" ht="12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</row>
    <row r="804" ht="12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</row>
    <row r="805" ht="12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</row>
    <row r="806" ht="12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</row>
    <row r="807" ht="12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</row>
    <row r="808" ht="12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</row>
    <row r="809" ht="12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</row>
    <row r="810" ht="12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</row>
    <row r="811" ht="12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</row>
    <row r="812" ht="12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</row>
    <row r="813" ht="12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</row>
    <row r="814" ht="12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</row>
    <row r="815" ht="12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</row>
    <row r="816" ht="12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</row>
    <row r="817" ht="12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</row>
    <row r="818" ht="12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</row>
    <row r="819" ht="12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</row>
    <row r="820" ht="12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</row>
    <row r="821" ht="12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</row>
    <row r="822" ht="12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</row>
    <row r="823" ht="12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</row>
    <row r="824" ht="12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</row>
    <row r="825" ht="12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</row>
    <row r="826" ht="12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</row>
    <row r="827" ht="12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</row>
    <row r="828" ht="12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</row>
    <row r="829" ht="12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</row>
    <row r="830" ht="12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</row>
    <row r="831" ht="12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</row>
    <row r="832" ht="12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</row>
    <row r="833" ht="12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</row>
    <row r="834" ht="12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</row>
    <row r="835" ht="12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</row>
    <row r="836" ht="12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</row>
    <row r="837" ht="12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</row>
    <row r="838" ht="12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</row>
    <row r="839" ht="12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</row>
    <row r="840" ht="12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</row>
    <row r="841" ht="12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</row>
    <row r="842" ht="12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</row>
    <row r="843" ht="12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</row>
    <row r="844" ht="12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</row>
    <row r="845" ht="12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</row>
    <row r="846" ht="12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</row>
    <row r="847" ht="12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</row>
    <row r="848" ht="12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</row>
    <row r="849" ht="12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</row>
    <row r="850" ht="12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</row>
    <row r="851" ht="12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</row>
    <row r="852" ht="12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</row>
    <row r="853" ht="12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</row>
    <row r="854" ht="12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</row>
    <row r="855" ht="12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</row>
    <row r="856" ht="12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</row>
    <row r="857" ht="12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</row>
    <row r="858" ht="12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</row>
    <row r="859" ht="12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</row>
    <row r="860" ht="12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</row>
    <row r="861" ht="12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</row>
    <row r="862" ht="12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</row>
    <row r="863" ht="12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</row>
    <row r="864" ht="12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</row>
    <row r="865" ht="12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</row>
    <row r="866" ht="12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</row>
    <row r="867" ht="12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</row>
    <row r="868" ht="12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</row>
    <row r="869" ht="12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</row>
    <row r="870" ht="12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</row>
    <row r="871" ht="12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</row>
    <row r="872" ht="12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</row>
    <row r="873" ht="12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</row>
    <row r="874" ht="12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</row>
    <row r="875" ht="12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</row>
    <row r="876" ht="12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</row>
    <row r="877" ht="12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</row>
    <row r="878" ht="12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</row>
    <row r="879" ht="12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</row>
    <row r="880" ht="12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</row>
    <row r="881" ht="12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</row>
    <row r="882" ht="12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</row>
    <row r="883" ht="12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</row>
    <row r="884" ht="12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</row>
    <row r="885" ht="12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</row>
    <row r="886" ht="12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</row>
    <row r="887" ht="12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</row>
    <row r="888" ht="12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</row>
    <row r="889" ht="12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</row>
    <row r="890" ht="12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</row>
    <row r="891" ht="12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</row>
    <row r="892" ht="12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</row>
    <row r="893" ht="12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</row>
    <row r="894" ht="12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</row>
    <row r="895" ht="12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</row>
    <row r="896" ht="12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</row>
    <row r="897" ht="12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</row>
    <row r="898" ht="12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</row>
    <row r="899" ht="12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</row>
    <row r="900" ht="12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</row>
    <row r="901" ht="12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</row>
    <row r="902" ht="12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</row>
    <row r="903" ht="12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</row>
    <row r="904" ht="12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</row>
    <row r="905" ht="12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</row>
    <row r="906" ht="12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</row>
    <row r="907" ht="12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</row>
    <row r="908" ht="12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</row>
    <row r="909" ht="12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</row>
    <row r="910" ht="12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</row>
    <row r="911" ht="12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</row>
    <row r="912" ht="12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</row>
    <row r="913" ht="12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</row>
    <row r="914" ht="12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</row>
    <row r="915" ht="12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</row>
    <row r="916" ht="12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</row>
    <row r="917" ht="12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</row>
    <row r="918" ht="12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</row>
    <row r="919" ht="12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</row>
    <row r="920" ht="12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</row>
    <row r="921" ht="12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</row>
    <row r="922" ht="12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</row>
    <row r="923" ht="12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</row>
    <row r="924" ht="12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</row>
    <row r="925" ht="12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</row>
    <row r="926" ht="12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</row>
    <row r="927" ht="12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</row>
    <row r="928" ht="12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</row>
    <row r="929" ht="12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</row>
    <row r="930" ht="12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</row>
    <row r="931" ht="12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</row>
    <row r="932" ht="12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</row>
    <row r="933" ht="12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</row>
    <row r="934" ht="12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</row>
    <row r="935" ht="12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</row>
    <row r="936" ht="12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</row>
    <row r="937" ht="12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</row>
    <row r="938" ht="12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</row>
    <row r="939" ht="12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</row>
    <row r="940" ht="12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</row>
    <row r="941" ht="12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</row>
    <row r="942" ht="12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</row>
    <row r="943" ht="12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</row>
    <row r="944" ht="12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</row>
    <row r="945" ht="12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</row>
    <row r="946" ht="12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</row>
    <row r="947" ht="12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</row>
    <row r="948" ht="12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</row>
    <row r="949" ht="12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</row>
    <row r="950" ht="12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</row>
    <row r="951" ht="12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</row>
    <row r="952" ht="12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</row>
    <row r="953" ht="12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</row>
    <row r="954" ht="12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</row>
    <row r="955" ht="12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</row>
    <row r="956" ht="12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</row>
    <row r="957" ht="12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</row>
    <row r="958" ht="12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</row>
    <row r="959" ht="12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</row>
    <row r="960" ht="12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</row>
    <row r="961" ht="12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</row>
    <row r="962" ht="12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</row>
    <row r="963" ht="12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</row>
    <row r="964" ht="12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</row>
    <row r="965" ht="12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</row>
    <row r="966" ht="12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</row>
    <row r="967" ht="12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</row>
    <row r="968" ht="12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</row>
    <row r="969" ht="12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</row>
    <row r="970" ht="12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</row>
    <row r="971" ht="12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</row>
    <row r="972" ht="12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</row>
    <row r="973" ht="12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</row>
    <row r="974" ht="12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</row>
    <row r="975" ht="12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</row>
    <row r="976" ht="12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</row>
    <row r="977" ht="12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</row>
    <row r="978" ht="12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</row>
    <row r="979" ht="12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</row>
    <row r="980" ht="12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</row>
    <row r="981" ht="12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</row>
    <row r="982" ht="12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</row>
    <row r="983" ht="12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</row>
    <row r="984" ht="12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</row>
    <row r="985" ht="12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</row>
    <row r="986" ht="12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</row>
    <row r="987" ht="12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</row>
    <row r="988" ht="12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</row>
    <row r="989" ht="12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</row>
    <row r="990" ht="12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</row>
    <row r="991" ht="12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</row>
    <row r="992" ht="12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</row>
    <row r="993" ht="12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</row>
    <row r="994" ht="12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</row>
    <row r="995" ht="12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</row>
    <row r="996" ht="12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</row>
    <row r="997" ht="12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</row>
    <row r="998" ht="12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</row>
    <row r="999" ht="12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</row>
    <row r="1000" ht="12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</row>
    <row r="1001" ht="12.75" customHeight="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</row>
    <row r="1002" ht="12.75" customHeight="1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</row>
    <row r="1003" ht="12.75" customHeight="1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</row>
    <row r="1004" ht="12.75" customHeight="1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</row>
    <row r="1005" ht="12.75" customHeight="1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</row>
    <row r="1006" ht="12.75" customHeight="1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</row>
    <row r="1007" ht="12.75" customHeight="1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</row>
    <row r="1008" ht="12.75" customHeight="1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</row>
    <row r="1009" ht="12.75" customHeight="1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</row>
    <row r="1010" ht="12.75" customHeight="1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</row>
    <row r="1011" ht="12.75" customHeight="1">
      <c r="A1011" s="14"/>
      <c r="B1011" s="14"/>
      <c r="C1011" s="1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</row>
    <row r="1012" ht="12.75" customHeight="1">
      <c r="A1012" s="14"/>
      <c r="B1012" s="14"/>
      <c r="C1012" s="1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</row>
    <row r="1013" ht="12.75" customHeight="1">
      <c r="A1013" s="14"/>
      <c r="B1013" s="14"/>
      <c r="C1013" s="14"/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</row>
    <row r="1014" ht="12.75" customHeight="1">
      <c r="A1014" s="14"/>
      <c r="B1014" s="14"/>
      <c r="C1014" s="14"/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</row>
    <row r="1015" ht="12.75" customHeight="1">
      <c r="A1015" s="14"/>
      <c r="B1015" s="14"/>
      <c r="C1015" s="14"/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</row>
    <row r="1016" ht="12.75" customHeight="1">
      <c r="A1016" s="14"/>
      <c r="B1016" s="14"/>
      <c r="C1016" s="14"/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</row>
    <row r="1017" ht="12.75" customHeight="1">
      <c r="A1017" s="14"/>
      <c r="B1017" s="14"/>
      <c r="C1017" s="14"/>
      <c r="D1017" s="14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</row>
    <row r="1018" ht="12.75" customHeight="1">
      <c r="A1018" s="14"/>
      <c r="B1018" s="14"/>
      <c r="C1018" s="14"/>
      <c r="D1018" s="14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  <c r="AH1018" s="14"/>
      <c r="AI1018" s="14"/>
      <c r="AJ1018" s="14"/>
      <c r="AK1018" s="14"/>
    </row>
    <row r="1019" ht="12.75" customHeight="1">
      <c r="A1019" s="14"/>
      <c r="B1019" s="14"/>
      <c r="C1019" s="14"/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</row>
    <row r="1020" ht="12.75" customHeight="1">
      <c r="A1020" s="14"/>
      <c r="B1020" s="14"/>
      <c r="C1020" s="14"/>
      <c r="D1020" s="14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</row>
    <row r="1021" ht="12.75" customHeight="1">
      <c r="A1021" s="14"/>
      <c r="B1021" s="14"/>
      <c r="C1021" s="14"/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</row>
    <row r="1022" ht="12.75" customHeight="1">
      <c r="A1022" s="14"/>
      <c r="B1022" s="14"/>
      <c r="C1022" s="14"/>
      <c r="D1022" s="14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</row>
    <row r="1023" ht="12.75" customHeight="1">
      <c r="A1023" s="14"/>
      <c r="B1023" s="14"/>
      <c r="C1023" s="14"/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</row>
    <row r="1024" ht="12.75" customHeight="1">
      <c r="A1024" s="14"/>
      <c r="B1024" s="14"/>
      <c r="C1024" s="14"/>
      <c r="D1024" s="14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4"/>
      <c r="AK1024" s="14"/>
    </row>
    <row r="1025" ht="12.75" customHeight="1">
      <c r="A1025" s="14"/>
      <c r="B1025" s="14"/>
      <c r="C1025" s="14"/>
      <c r="D1025" s="14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4"/>
      <c r="AK1025" s="14"/>
    </row>
    <row r="1026" ht="12.75" customHeight="1">
      <c r="A1026" s="14"/>
      <c r="B1026" s="14"/>
      <c r="C1026" s="14"/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4"/>
      <c r="AK1026" s="14"/>
    </row>
    <row r="1027" ht="12.75" customHeight="1">
      <c r="A1027" s="14"/>
      <c r="B1027" s="14"/>
      <c r="C1027" s="14"/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</row>
    <row r="1028" ht="12.75" customHeight="1">
      <c r="A1028" s="14"/>
      <c r="B1028" s="14"/>
      <c r="C1028" s="14"/>
      <c r="D1028" s="14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</row>
    <row r="1029" ht="12.75" customHeight="1">
      <c r="A1029" s="14"/>
      <c r="B1029" s="14"/>
      <c r="C1029" s="14"/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</row>
    <row r="1030" ht="12.75" customHeight="1">
      <c r="A1030" s="14"/>
      <c r="B1030" s="14"/>
      <c r="C1030" s="14"/>
      <c r="D1030" s="14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4"/>
      <c r="AK1030" s="14"/>
    </row>
    <row r="1031" ht="12.75" customHeight="1">
      <c r="A1031" s="14"/>
      <c r="B1031" s="14"/>
      <c r="C1031" s="14"/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4"/>
      <c r="AK1031" s="14"/>
    </row>
    <row r="1032" ht="12.75" customHeight="1">
      <c r="A1032" s="14"/>
      <c r="B1032" s="14"/>
      <c r="C1032" s="14"/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</row>
    <row r="1033" ht="12.75" customHeight="1">
      <c r="A1033" s="14"/>
      <c r="B1033" s="14"/>
      <c r="C1033" s="14"/>
      <c r="D1033" s="14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4"/>
      <c r="AK1033" s="14"/>
    </row>
    <row r="1034" ht="12.75" customHeight="1">
      <c r="A1034" s="14"/>
      <c r="B1034" s="14"/>
      <c r="C1034" s="14"/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  <c r="AK1034" s="14"/>
    </row>
    <row r="1035" ht="12.75" customHeight="1">
      <c r="A1035" s="14"/>
      <c r="B1035" s="14"/>
      <c r="C1035" s="14"/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4"/>
      <c r="AK1035" s="14"/>
    </row>
    <row r="1036" ht="12.75" customHeight="1">
      <c r="A1036" s="14"/>
      <c r="B1036" s="14"/>
      <c r="C1036" s="14"/>
      <c r="D1036" s="14"/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  <c r="AK1036" s="14"/>
    </row>
    <row r="1037" ht="12.75" customHeight="1">
      <c r="A1037" s="14"/>
      <c r="B1037" s="14"/>
      <c r="C1037" s="14"/>
      <c r="D1037" s="14"/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4"/>
      <c r="AK1037" s="14"/>
    </row>
    <row r="1038" ht="12.75" customHeight="1">
      <c r="A1038" s="14"/>
      <c r="B1038" s="14"/>
      <c r="C1038" s="14"/>
      <c r="D1038" s="14"/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4"/>
      <c r="AK1038" s="14"/>
    </row>
    <row r="1039" ht="12.75" customHeight="1">
      <c r="A1039" s="14"/>
      <c r="B1039" s="14"/>
      <c r="C1039" s="14"/>
      <c r="D1039" s="14"/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</row>
    <row r="1040" ht="12.75" customHeight="1">
      <c r="A1040" s="14"/>
      <c r="B1040" s="14"/>
      <c r="C1040" s="14"/>
      <c r="D1040" s="14"/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</row>
    <row r="1041" ht="12.75" customHeight="1">
      <c r="A1041" s="14"/>
      <c r="B1041" s="14"/>
      <c r="C1041" s="14"/>
      <c r="D1041" s="14"/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</row>
    <row r="1042" ht="12.75" customHeight="1">
      <c r="A1042" s="14"/>
      <c r="B1042" s="14"/>
      <c r="C1042" s="14"/>
      <c r="D1042" s="14"/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</row>
    <row r="1043" ht="12.75" customHeight="1">
      <c r="A1043" s="14"/>
      <c r="B1043" s="14"/>
      <c r="C1043" s="14"/>
      <c r="D1043" s="14"/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  <c r="AK1043" s="14"/>
    </row>
    <row r="1044" ht="12.75" customHeight="1">
      <c r="A1044" s="14"/>
      <c r="B1044" s="14"/>
      <c r="C1044" s="14"/>
      <c r="D1044" s="14"/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</row>
    <row r="1045" ht="12.75" customHeight="1">
      <c r="A1045" s="14"/>
      <c r="B1045" s="14"/>
      <c r="C1045" s="14"/>
      <c r="D1045" s="14"/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</row>
    <row r="1046" ht="12.75" customHeight="1">
      <c r="A1046" s="14"/>
      <c r="B1046" s="14"/>
      <c r="C1046" s="14"/>
      <c r="D1046" s="14"/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</row>
    <row r="1047" ht="12.75" customHeight="1">
      <c r="A1047" s="14"/>
      <c r="B1047" s="14"/>
      <c r="C1047" s="14"/>
      <c r="D1047" s="14"/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4"/>
      <c r="AK1047" s="14"/>
    </row>
    <row r="1048" ht="12.75" customHeight="1">
      <c r="A1048" s="14"/>
      <c r="B1048" s="14"/>
      <c r="C1048" s="14"/>
      <c r="D1048" s="14"/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  <c r="AK1048" s="14"/>
    </row>
    <row r="1049" ht="12.75" customHeight="1">
      <c r="A1049" s="14"/>
      <c r="B1049" s="14"/>
      <c r="C1049" s="14"/>
      <c r="D1049" s="14"/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</row>
    <row r="1050" ht="12.75" customHeight="1">
      <c r="A1050" s="14"/>
      <c r="B1050" s="14"/>
      <c r="C1050" s="14"/>
      <c r="D1050" s="14"/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  <c r="AK1050" s="14"/>
    </row>
    <row r="1051" ht="12.75" customHeight="1">
      <c r="A1051" s="14"/>
      <c r="B1051" s="14"/>
      <c r="C1051" s="14"/>
      <c r="D1051" s="14"/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</row>
    <row r="1052" ht="12.75" customHeight="1">
      <c r="A1052" s="14"/>
      <c r="B1052" s="14"/>
      <c r="C1052" s="14"/>
      <c r="D1052" s="14"/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</row>
    <row r="1053" ht="12.75" customHeight="1">
      <c r="A1053" s="14"/>
      <c r="B1053" s="14"/>
      <c r="C1053" s="14"/>
      <c r="D1053" s="14"/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</row>
    <row r="1054" ht="12.75" customHeight="1">
      <c r="A1054" s="14"/>
      <c r="B1054" s="14"/>
      <c r="C1054" s="14"/>
      <c r="D1054" s="14"/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  <c r="AK1054" s="14"/>
    </row>
    <row r="1055" ht="12.75" customHeight="1">
      <c r="A1055" s="14"/>
      <c r="B1055" s="14"/>
      <c r="C1055" s="14"/>
      <c r="D1055" s="14"/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  <c r="AK1055" s="14"/>
    </row>
    <row r="1056" ht="12.75" customHeight="1">
      <c r="A1056" s="14"/>
      <c r="B1056" s="14"/>
      <c r="C1056" s="14"/>
      <c r="D1056" s="14"/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K1056" s="14"/>
    </row>
    <row r="1057" ht="12.75" customHeight="1">
      <c r="A1057" s="14"/>
      <c r="B1057" s="14"/>
      <c r="C1057" s="14"/>
      <c r="D1057" s="14"/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</row>
    <row r="1058" ht="12.75" customHeight="1">
      <c r="A1058" s="14"/>
      <c r="B1058" s="14"/>
      <c r="C1058" s="14"/>
      <c r="D1058" s="14"/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4"/>
      <c r="AK1058" s="14"/>
    </row>
    <row r="1059" ht="12.75" customHeight="1">
      <c r="A1059" s="14"/>
      <c r="B1059" s="14"/>
      <c r="C1059" s="14"/>
      <c r="D1059" s="14"/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4"/>
      <c r="AK1059" s="14"/>
    </row>
    <row r="1060" ht="12.75" customHeight="1">
      <c r="A1060" s="14"/>
      <c r="B1060" s="14"/>
      <c r="C1060" s="14"/>
      <c r="D1060" s="14"/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4"/>
      <c r="AK1060" s="14"/>
    </row>
    <row r="1061" ht="12.75" customHeight="1">
      <c r="A1061" s="14"/>
      <c r="B1061" s="14"/>
      <c r="C1061" s="14"/>
      <c r="D1061" s="14"/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  <c r="AB1061" s="14"/>
      <c r="AC1061" s="14"/>
      <c r="AD1061" s="14"/>
      <c r="AE1061" s="14"/>
      <c r="AF1061" s="14"/>
      <c r="AG1061" s="14"/>
      <c r="AH1061" s="14"/>
      <c r="AI1061" s="14"/>
      <c r="AJ1061" s="14"/>
      <c r="AK1061" s="14"/>
    </row>
    <row r="1062" ht="12.75" customHeight="1">
      <c r="A1062" s="14"/>
      <c r="B1062" s="14"/>
      <c r="C1062" s="14"/>
      <c r="D1062" s="14"/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4"/>
      <c r="AB1062" s="14"/>
      <c r="AC1062" s="14"/>
      <c r="AD1062" s="14"/>
      <c r="AE1062" s="14"/>
      <c r="AF1062" s="14"/>
      <c r="AG1062" s="14"/>
      <c r="AH1062" s="14"/>
      <c r="AI1062" s="14"/>
      <c r="AJ1062" s="14"/>
      <c r="AK1062" s="14"/>
    </row>
    <row r="1063" ht="12.75" customHeight="1">
      <c r="A1063" s="14"/>
      <c r="B1063" s="14"/>
      <c r="C1063" s="14"/>
      <c r="D1063" s="14"/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  <c r="AA1063" s="14"/>
      <c r="AB1063" s="14"/>
      <c r="AC1063" s="14"/>
      <c r="AD1063" s="14"/>
      <c r="AE1063" s="14"/>
      <c r="AF1063" s="14"/>
      <c r="AG1063" s="14"/>
      <c r="AH1063" s="14"/>
      <c r="AI1063" s="14"/>
      <c r="AJ1063" s="14"/>
      <c r="AK1063" s="14"/>
    </row>
    <row r="1064" ht="12.75" customHeight="1">
      <c r="A1064" s="14"/>
      <c r="B1064" s="14"/>
      <c r="C1064" s="14"/>
      <c r="D1064" s="14"/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  <c r="AA1064" s="14"/>
      <c r="AB1064" s="14"/>
      <c r="AC1064" s="14"/>
      <c r="AD1064" s="14"/>
      <c r="AE1064" s="14"/>
      <c r="AF1064" s="14"/>
      <c r="AG1064" s="14"/>
      <c r="AH1064" s="14"/>
      <c r="AI1064" s="14"/>
      <c r="AJ1064" s="14"/>
      <c r="AK1064" s="14"/>
    </row>
    <row r="1065" ht="12.75" customHeight="1">
      <c r="A1065" s="14"/>
      <c r="B1065" s="14"/>
      <c r="C1065" s="14"/>
      <c r="D1065" s="14"/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4"/>
      <c r="AB1065" s="14"/>
      <c r="AC1065" s="14"/>
      <c r="AD1065" s="14"/>
      <c r="AE1065" s="14"/>
      <c r="AF1065" s="14"/>
      <c r="AG1065" s="14"/>
      <c r="AH1065" s="14"/>
      <c r="AI1065" s="14"/>
      <c r="AJ1065" s="14"/>
      <c r="AK1065" s="14"/>
    </row>
    <row r="1066" ht="12.75" customHeight="1">
      <c r="A1066" s="14"/>
      <c r="B1066" s="14"/>
      <c r="C1066" s="14"/>
      <c r="D1066" s="14"/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4"/>
      <c r="AK1066" s="14"/>
    </row>
    <row r="1067" ht="12.75" customHeight="1">
      <c r="A1067" s="14"/>
      <c r="B1067" s="14"/>
      <c r="C1067" s="14"/>
      <c r="D1067" s="14"/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  <c r="AH1067" s="14"/>
      <c r="AI1067" s="14"/>
      <c r="AJ1067" s="14"/>
      <c r="AK1067" s="14"/>
    </row>
    <row r="1068" ht="12.75" customHeight="1">
      <c r="A1068" s="14"/>
      <c r="B1068" s="14"/>
      <c r="C1068" s="14"/>
      <c r="D1068" s="14"/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  <c r="AH1068" s="14"/>
      <c r="AI1068" s="14"/>
      <c r="AJ1068" s="14"/>
      <c r="AK1068" s="14"/>
    </row>
    <row r="1069" ht="12.75" customHeight="1">
      <c r="A1069" s="14"/>
      <c r="B1069" s="14"/>
      <c r="C1069" s="14"/>
      <c r="D1069" s="14"/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  <c r="AA1069" s="14"/>
      <c r="AB1069" s="14"/>
      <c r="AC1069" s="14"/>
      <c r="AD1069" s="14"/>
      <c r="AE1069" s="14"/>
      <c r="AF1069" s="14"/>
      <c r="AG1069" s="14"/>
      <c r="AH1069" s="14"/>
      <c r="AI1069" s="14"/>
      <c r="AJ1069" s="14"/>
      <c r="AK1069" s="14"/>
    </row>
    <row r="1070" ht="12.75" customHeight="1">
      <c r="A1070" s="14"/>
      <c r="B1070" s="14"/>
      <c r="C1070" s="14"/>
      <c r="D1070" s="14"/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  <c r="AH1070" s="14"/>
      <c r="AI1070" s="14"/>
      <c r="AJ1070" s="14"/>
      <c r="AK1070" s="14"/>
    </row>
    <row r="1071" ht="12.75" customHeight="1">
      <c r="A1071" s="14"/>
      <c r="B1071" s="14"/>
      <c r="C1071" s="14"/>
      <c r="D1071" s="14"/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14"/>
      <c r="AC1071" s="14"/>
      <c r="AD1071" s="14"/>
      <c r="AE1071" s="14"/>
      <c r="AF1071" s="14"/>
      <c r="AG1071" s="14"/>
      <c r="AH1071" s="14"/>
      <c r="AI1071" s="14"/>
      <c r="AJ1071" s="14"/>
      <c r="AK1071" s="14"/>
    </row>
    <row r="1072" ht="12.75" customHeight="1">
      <c r="A1072" s="14"/>
      <c r="B1072" s="14"/>
      <c r="C1072" s="14"/>
      <c r="D1072" s="14"/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  <c r="AH1072" s="14"/>
      <c r="AI1072" s="14"/>
      <c r="AJ1072" s="14"/>
      <c r="AK1072" s="14"/>
    </row>
    <row r="1073" ht="12.75" customHeight="1">
      <c r="A1073" s="14"/>
      <c r="B1073" s="14"/>
      <c r="C1073" s="14"/>
      <c r="D1073" s="14"/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  <c r="AA1073" s="14"/>
      <c r="AB1073" s="14"/>
      <c r="AC1073" s="14"/>
      <c r="AD1073" s="14"/>
      <c r="AE1073" s="14"/>
      <c r="AF1073" s="14"/>
      <c r="AG1073" s="14"/>
      <c r="AH1073" s="14"/>
      <c r="AI1073" s="14"/>
      <c r="AJ1073" s="14"/>
      <c r="AK1073" s="14"/>
    </row>
    <row r="1074" ht="12.75" customHeight="1">
      <c r="A1074" s="14"/>
      <c r="B1074" s="14"/>
      <c r="C1074" s="14"/>
      <c r="D1074" s="14"/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  <c r="AH1074" s="14"/>
      <c r="AI1074" s="14"/>
      <c r="AJ1074" s="14"/>
      <c r="AK1074" s="14"/>
    </row>
    <row r="1075" ht="12.75" customHeight="1">
      <c r="A1075" s="14"/>
      <c r="B1075" s="14"/>
      <c r="C1075" s="14"/>
      <c r="D1075" s="14"/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  <c r="AH1075" s="14"/>
      <c r="AI1075" s="14"/>
      <c r="AJ1075" s="14"/>
      <c r="AK1075" s="14"/>
    </row>
    <row r="1076" ht="12.75" customHeight="1">
      <c r="A1076" s="14"/>
      <c r="B1076" s="14"/>
      <c r="C1076" s="14"/>
      <c r="D1076" s="14"/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4"/>
      <c r="AD1076" s="14"/>
      <c r="AE1076" s="14"/>
      <c r="AF1076" s="14"/>
      <c r="AG1076" s="14"/>
      <c r="AH1076" s="14"/>
      <c r="AI1076" s="14"/>
      <c r="AJ1076" s="14"/>
      <c r="AK1076" s="14"/>
    </row>
    <row r="1077" ht="12.75" customHeight="1">
      <c r="A1077" s="14"/>
      <c r="B1077" s="14"/>
      <c r="C1077" s="14"/>
      <c r="D1077" s="14"/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  <c r="AA1077" s="14"/>
      <c r="AB1077" s="14"/>
      <c r="AC1077" s="14"/>
      <c r="AD1077" s="14"/>
      <c r="AE1077" s="14"/>
      <c r="AF1077" s="14"/>
      <c r="AG1077" s="14"/>
      <c r="AH1077" s="14"/>
      <c r="AI1077" s="14"/>
      <c r="AJ1077" s="14"/>
      <c r="AK1077" s="14"/>
    </row>
    <row r="1078" ht="12.75" customHeight="1">
      <c r="A1078" s="14"/>
      <c r="B1078" s="14"/>
      <c r="C1078" s="14"/>
      <c r="D1078" s="14"/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  <c r="AA1078" s="14"/>
      <c r="AB1078" s="14"/>
      <c r="AC1078" s="14"/>
      <c r="AD1078" s="14"/>
      <c r="AE1078" s="14"/>
      <c r="AF1078" s="14"/>
      <c r="AG1078" s="14"/>
      <c r="AH1078" s="14"/>
      <c r="AI1078" s="14"/>
      <c r="AJ1078" s="14"/>
      <c r="AK1078" s="14"/>
    </row>
  </sheetData>
  <mergeCells count="23">
    <mergeCell ref="T27:T28"/>
    <mergeCell ref="T34:T35"/>
    <mergeCell ref="T41:T42"/>
    <mergeCell ref="T48:T49"/>
    <mergeCell ref="T55:T56"/>
    <mergeCell ref="T62:T63"/>
    <mergeCell ref="T69:T70"/>
    <mergeCell ref="C1:D1"/>
    <mergeCell ref="S2:Y2"/>
    <mergeCell ref="S3:Y3"/>
    <mergeCell ref="S5:Z5"/>
    <mergeCell ref="T13:T14"/>
    <mergeCell ref="B18:I18"/>
    <mergeCell ref="T20:T21"/>
    <mergeCell ref="A63:A64"/>
    <mergeCell ref="A70:A71"/>
    <mergeCell ref="A13:A14"/>
    <mergeCell ref="A21:A22"/>
    <mergeCell ref="A28:A29"/>
    <mergeCell ref="A35:A36"/>
    <mergeCell ref="A42:A43"/>
    <mergeCell ref="A49:A50"/>
    <mergeCell ref="A56:A57"/>
  </mergeCells>
  <conditionalFormatting sqref="R1:R74 AK10:AK73 R138:R1078">
    <cfRule type="cellIs" dxfId="0" priority="1" operator="greaterThan">
      <formula>0.5</formula>
    </cfRule>
  </conditionalFormatting>
  <conditionalFormatting sqref="R1:R74 AK10:AK73 R138:R1078">
    <cfRule type="cellIs" dxfId="1" priority="2" operator="lessThan">
      <formula>-0.75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3.63"/>
    <col customWidth="1" min="3" max="9" width="5.25"/>
    <col customWidth="1" min="10" max="17" width="0.38"/>
    <col customWidth="1" min="18" max="18" width="8.38"/>
    <col customWidth="1" min="19" max="19" width="6.0"/>
    <col customWidth="1" min="20" max="20" width="11.88"/>
    <col customWidth="1" min="21" max="21" width="4.25"/>
    <col customWidth="1" min="22" max="28" width="5.25"/>
    <col customWidth="1" min="29" max="35" width="0.38"/>
    <col customWidth="1" min="36" max="37" width="8.88"/>
  </cols>
  <sheetData>
    <row r="1" ht="12.75" customHeight="1">
      <c r="A1" s="14"/>
      <c r="B1" s="47"/>
      <c r="C1" s="47" t="s">
        <v>0</v>
      </c>
      <c r="E1" s="47" t="b">
        <v>1</v>
      </c>
      <c r="F1" s="47"/>
      <c r="G1" s="47"/>
      <c r="H1" s="47"/>
      <c r="I1" s="47"/>
      <c r="J1" s="14"/>
      <c r="K1" s="47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ht="12.75" customHeight="1">
      <c r="A2" s="14"/>
      <c r="C2" s="79"/>
      <c r="D2" s="49" t="s">
        <v>1</v>
      </c>
      <c r="E2" s="54" t="s">
        <v>2</v>
      </c>
      <c r="F2" s="55" t="s">
        <v>3</v>
      </c>
      <c r="G2" s="56" t="s">
        <v>4</v>
      </c>
      <c r="H2" s="47"/>
      <c r="I2" s="47"/>
      <c r="J2" s="14"/>
      <c r="K2" s="47"/>
      <c r="L2" s="14"/>
      <c r="M2" s="14"/>
      <c r="N2" s="14"/>
      <c r="O2" s="14"/>
      <c r="P2" s="14"/>
      <c r="Q2" s="14"/>
      <c r="R2" s="14"/>
      <c r="S2" s="47" t="s">
        <v>5</v>
      </c>
      <c r="Z2" s="47"/>
      <c r="AA2" s="71"/>
      <c r="AB2" s="14"/>
      <c r="AC2" s="47">
        <v>1.78</v>
      </c>
      <c r="AD2" s="47">
        <v>2.03</v>
      </c>
      <c r="AE2" s="47">
        <v>0.39</v>
      </c>
      <c r="AF2" s="47">
        <v>0.94</v>
      </c>
      <c r="AG2" s="47"/>
      <c r="AH2" s="47"/>
      <c r="AI2" s="47"/>
      <c r="AJ2" s="47"/>
      <c r="AK2" s="47"/>
    </row>
    <row r="3" ht="12.75" customHeight="1">
      <c r="A3" s="14"/>
      <c r="C3" s="47" t="s">
        <v>6</v>
      </c>
      <c r="D3" s="14">
        <f>R12+R20+R27+R34+R41+R48+R55+R62+R69+AK12+AK19+AK26+AK33+AK40+AK47+AK54+AK61+AK68</f>
        <v>-1.07</v>
      </c>
      <c r="E3" s="14">
        <f>R13+R14+R21+R22+R28+R29+R35+R36+R42+R43+R49+R50+R56+R57+R63+R64+R70+R71+AK13+AK14+AK20+AK21+AK27+AK28+AK34+AK35+AK41+AK42+AK48+AK49+AK55+AK56+AK62+AK63+AK69+AK70</f>
        <v>-9</v>
      </c>
      <c r="F3" s="14">
        <f>R15+R23++R30+R37+R44+R51+R58+R65+R72+AK15+AK22+AK29+AK36+AK43+AK50+AK57+AK64+AK71</f>
        <v>0.85</v>
      </c>
      <c r="G3" s="14">
        <f>R16+R17+R24+R25+R31+R32++R38+R39+R45+R46+R52+R53+R59+R60+R66+R67+R73+R74+AK16+AK17+AK23+AK24+AK30+AK31+AK37+AK38+AK44+AK45+AK51+AK52+AK58+AK59+AK65+AK66+AK72+AK73</f>
        <v>-3.27</v>
      </c>
      <c r="H3" s="47"/>
      <c r="I3" s="47"/>
      <c r="J3" s="14"/>
      <c r="K3" s="47"/>
      <c r="L3" s="14"/>
      <c r="M3" s="14"/>
      <c r="N3" s="14"/>
      <c r="O3" s="14"/>
      <c r="P3" s="14"/>
      <c r="Q3" s="14"/>
      <c r="R3" s="14"/>
      <c r="S3" s="47" t="s">
        <v>9</v>
      </c>
      <c r="Z3" s="47"/>
      <c r="AA3" s="72"/>
      <c r="AB3" s="14"/>
      <c r="AC3" s="47">
        <v>3.31</v>
      </c>
      <c r="AD3" s="47">
        <v>4.29</v>
      </c>
      <c r="AE3" s="47">
        <v>0.97</v>
      </c>
      <c r="AF3" s="47">
        <v>1.42</v>
      </c>
      <c r="AG3" s="47"/>
      <c r="AH3" s="47"/>
      <c r="AI3" s="47"/>
      <c r="AJ3" s="47"/>
      <c r="AK3" s="47"/>
    </row>
    <row r="4" ht="12.75" customHeight="1">
      <c r="A4" s="14"/>
      <c r="C4" s="47" t="s">
        <v>8</v>
      </c>
      <c r="D4" s="67">
        <f t="shared" ref="D4:G4" si="1">IF($E$1=FALSE, D$3+AC2, D$3+AC2/2)</f>
        <v>-0.18</v>
      </c>
      <c r="E4" s="67">
        <f t="shared" si="1"/>
        <v>-7.985</v>
      </c>
      <c r="F4" s="67">
        <f t="shared" si="1"/>
        <v>1.045</v>
      </c>
      <c r="G4" s="67">
        <f t="shared" si="1"/>
        <v>-2.8</v>
      </c>
      <c r="H4" s="47"/>
      <c r="I4" s="47"/>
      <c r="J4" s="14"/>
      <c r="K4" s="47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47">
        <v>3.61</v>
      </c>
      <c r="AD4" s="47">
        <v>6.11</v>
      </c>
      <c r="AE4" s="47">
        <v>1.33</v>
      </c>
      <c r="AF4" s="47">
        <v>2.77</v>
      </c>
      <c r="AG4" s="47"/>
      <c r="AH4" s="47"/>
      <c r="AI4" s="47"/>
      <c r="AJ4" s="47"/>
      <c r="AK4" s="47"/>
    </row>
    <row r="5" ht="12.75" customHeight="1">
      <c r="A5" s="14"/>
      <c r="C5" s="47">
        <v>5.0</v>
      </c>
      <c r="D5" s="67">
        <f t="shared" ref="D5:G5" si="2">IF($E$1=FALSE, D$3+AC3, D$3+AC3/2)</f>
        <v>0.585</v>
      </c>
      <c r="E5" s="67">
        <f t="shared" si="2"/>
        <v>-6.855</v>
      </c>
      <c r="F5" s="67">
        <f t="shared" si="2"/>
        <v>1.335</v>
      </c>
      <c r="G5" s="67">
        <f t="shared" si="2"/>
        <v>-2.56</v>
      </c>
      <c r="H5" s="47"/>
      <c r="I5" s="47"/>
      <c r="J5" s="14"/>
      <c r="K5" s="47"/>
      <c r="L5" s="14"/>
      <c r="M5" s="14"/>
      <c r="N5" s="14"/>
      <c r="O5" s="14"/>
      <c r="P5" s="14"/>
      <c r="Q5" s="14"/>
      <c r="R5" s="14"/>
      <c r="S5" s="47" t="s">
        <v>10</v>
      </c>
      <c r="AA5" s="14"/>
      <c r="AB5" s="14"/>
      <c r="AC5" s="47">
        <v>4.86</v>
      </c>
      <c r="AD5" s="47">
        <v>8.54</v>
      </c>
      <c r="AE5" s="47">
        <v>4.46</v>
      </c>
      <c r="AF5" s="47">
        <v>4.46</v>
      </c>
      <c r="AG5" s="47"/>
      <c r="AH5" s="47"/>
      <c r="AI5" s="47"/>
      <c r="AJ5" s="47"/>
      <c r="AK5" s="47"/>
    </row>
    <row r="6" ht="12.75" customHeight="1">
      <c r="A6" s="14"/>
      <c r="C6" s="47">
        <v>10.0</v>
      </c>
      <c r="D6" s="67">
        <f t="shared" ref="D6:G6" si="3">IF($E$1=FALSE, D$3+AC4, D$3+AC4/2)</f>
        <v>0.735</v>
      </c>
      <c r="E6" s="67">
        <f t="shared" si="3"/>
        <v>-5.945</v>
      </c>
      <c r="F6" s="67">
        <f t="shared" si="3"/>
        <v>1.515</v>
      </c>
      <c r="G6" s="67">
        <f t="shared" si="3"/>
        <v>-1.885</v>
      </c>
      <c r="H6" s="47"/>
      <c r="I6" s="47"/>
      <c r="J6" s="14"/>
      <c r="K6" s="47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47">
        <v>5.75</v>
      </c>
      <c r="AD6" s="47">
        <v>11.26</v>
      </c>
      <c r="AE6" s="47">
        <v>4.48</v>
      </c>
      <c r="AF6" s="47">
        <v>4.48</v>
      </c>
      <c r="AG6" s="47"/>
      <c r="AH6" s="47"/>
      <c r="AI6" s="47"/>
      <c r="AJ6" s="47"/>
      <c r="AK6" s="47"/>
    </row>
    <row r="7" ht="12.75" customHeight="1">
      <c r="A7" s="14"/>
      <c r="C7" s="47">
        <v>15.0</v>
      </c>
      <c r="D7" s="67">
        <f t="shared" ref="D7:G7" si="4">IF($E$1=FALSE, D$3+AC5, D$3+AC5/2)</f>
        <v>1.36</v>
      </c>
      <c r="E7" s="67">
        <f t="shared" si="4"/>
        <v>-4.73</v>
      </c>
      <c r="F7" s="67">
        <f t="shared" si="4"/>
        <v>3.08</v>
      </c>
      <c r="G7" s="67">
        <f t="shared" si="4"/>
        <v>-1.04</v>
      </c>
      <c r="H7" s="47"/>
      <c r="I7" s="47"/>
      <c r="J7" s="14"/>
      <c r="K7" s="47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47"/>
      <c r="Y7" s="47"/>
      <c r="Z7" s="14"/>
      <c r="AA7" s="14"/>
      <c r="AB7" s="14"/>
      <c r="AC7" s="47">
        <v>7.53</v>
      </c>
      <c r="AD7" s="47">
        <v>14.23</v>
      </c>
      <c r="AE7" s="47">
        <v>4.71</v>
      </c>
      <c r="AF7" s="47">
        <v>4.71</v>
      </c>
      <c r="AG7" s="47"/>
      <c r="AH7" s="47"/>
      <c r="AI7" s="47"/>
      <c r="AJ7" s="47"/>
      <c r="AK7" s="47"/>
    </row>
    <row r="8" ht="12.75" customHeight="1">
      <c r="A8" s="14"/>
      <c r="C8" s="47">
        <v>20.0</v>
      </c>
      <c r="D8" s="67">
        <f t="shared" ref="D8:G8" si="5">IF($E$1=FALSE, D$3+AC6, D$3+AC6/2)</f>
        <v>1.805</v>
      </c>
      <c r="E8" s="67">
        <f t="shared" si="5"/>
        <v>-3.37</v>
      </c>
      <c r="F8" s="67">
        <f t="shared" si="5"/>
        <v>3.09</v>
      </c>
      <c r="G8" s="67">
        <f t="shared" si="5"/>
        <v>-1.03</v>
      </c>
      <c r="H8" s="47"/>
      <c r="I8" s="47"/>
      <c r="J8" s="14"/>
      <c r="K8" s="47"/>
      <c r="L8" s="14"/>
      <c r="M8" s="14"/>
      <c r="N8" s="14"/>
      <c r="O8" s="14"/>
      <c r="P8" s="14"/>
      <c r="Q8" s="14"/>
      <c r="R8" s="14"/>
      <c r="S8" s="14"/>
      <c r="T8" s="47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 ht="12.75" customHeight="1">
      <c r="A9" s="14"/>
      <c r="C9" s="47">
        <v>25.0</v>
      </c>
      <c r="D9" s="67">
        <f t="shared" ref="D9:G9" si="6">IF($E$1=FALSE, D$3+AC7, D$3+AC7/2)</f>
        <v>2.695</v>
      </c>
      <c r="E9" s="67">
        <f t="shared" si="6"/>
        <v>-1.885</v>
      </c>
      <c r="F9" s="67">
        <f t="shared" si="6"/>
        <v>3.205</v>
      </c>
      <c r="G9" s="67">
        <f t="shared" si="6"/>
        <v>-0.915</v>
      </c>
      <c r="H9" s="47"/>
      <c r="I9" s="47"/>
      <c r="J9" s="14"/>
      <c r="K9" s="47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47"/>
      <c r="X9" s="47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 ht="12.75" customHeight="1">
      <c r="A10" s="14"/>
      <c r="B10" s="47"/>
      <c r="C10" s="47"/>
      <c r="D10" s="47"/>
      <c r="E10" s="47"/>
      <c r="F10" s="47"/>
      <c r="G10" s="47"/>
      <c r="H10" s="47"/>
      <c r="I10" s="47"/>
      <c r="J10" s="14"/>
      <c r="K10" s="47"/>
      <c r="L10" s="14"/>
      <c r="M10" s="14"/>
      <c r="N10" s="14"/>
      <c r="O10" s="14"/>
      <c r="P10" s="14"/>
      <c r="Q10" s="14"/>
      <c r="R10" s="47" t="s">
        <v>11</v>
      </c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47" t="s">
        <v>11</v>
      </c>
    </row>
    <row r="11" ht="12.75" customHeight="1">
      <c r="A11" s="47"/>
      <c r="B11" s="47"/>
      <c r="C11" s="47" t="s">
        <v>12</v>
      </c>
      <c r="D11" s="47" t="s">
        <v>13</v>
      </c>
      <c r="E11" s="47" t="s">
        <v>14</v>
      </c>
      <c r="F11" s="47" t="s">
        <v>15</v>
      </c>
      <c r="G11" s="47" t="s">
        <v>16</v>
      </c>
      <c r="H11" s="47" t="s">
        <v>17</v>
      </c>
      <c r="I11" s="47" t="s">
        <v>18</v>
      </c>
      <c r="J11" s="14"/>
      <c r="K11" s="47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47" t="s">
        <v>12</v>
      </c>
      <c r="W11" s="47" t="s">
        <v>13</v>
      </c>
      <c r="X11" s="47" t="s">
        <v>14</v>
      </c>
      <c r="Y11" s="47" t="s">
        <v>15</v>
      </c>
      <c r="Z11" s="47" t="s">
        <v>16</v>
      </c>
      <c r="AA11" s="47" t="s">
        <v>17</v>
      </c>
      <c r="AB11" s="47" t="s">
        <v>18</v>
      </c>
      <c r="AC11" s="14"/>
      <c r="AD11" s="14"/>
      <c r="AE11" s="14"/>
      <c r="AF11" s="14"/>
      <c r="AG11" s="14"/>
      <c r="AH11" s="14"/>
      <c r="AI11" s="14"/>
      <c r="AJ11" s="14"/>
      <c r="AK11" s="14"/>
    </row>
    <row r="12" ht="12.75" customHeight="1">
      <c r="A12" s="49" t="s">
        <v>19</v>
      </c>
      <c r="B12" s="80">
        <v>1.0</v>
      </c>
      <c r="C12" s="50"/>
      <c r="D12" s="51"/>
      <c r="E12" s="52"/>
      <c r="F12" s="52"/>
      <c r="G12" s="52"/>
      <c r="H12" s="51"/>
      <c r="I12" s="49"/>
      <c r="J12" s="14" t="str">
        <f t="shared" ref="J12:N12" si="7">IF(C12="","", LOOKUP(C12, $D$160:$D$223, E$160:E$223))</f>
        <v/>
      </c>
      <c r="K12" s="14" t="str">
        <f t="shared" si="7"/>
        <v/>
      </c>
      <c r="L12" s="14" t="str">
        <f t="shared" si="7"/>
        <v/>
      </c>
      <c r="M12" s="14" t="str">
        <f t="shared" si="7"/>
        <v/>
      </c>
      <c r="N12" s="14" t="str">
        <f t="shared" si="7"/>
        <v/>
      </c>
      <c r="O12" s="14" t="str">
        <f t="shared" ref="O12:O13" si="10">IF(H12="","", LOOKUP(H12, I$178:I$223, J$178:J$223))</f>
        <v/>
      </c>
      <c r="P12" s="14" t="str">
        <f t="shared" ref="P12:P18" si="11">IF(SUM(J12:O12)=0, "", SUM(J12:O12))</f>
        <v/>
      </c>
      <c r="Q12" s="14"/>
      <c r="R12" s="14" t="str">
        <f>IF(P12="", "", IF(P13="", IF(P14="",P12-I12-1-P15, P12-I12-1-P14), P12-I12-1-P13))</f>
        <v/>
      </c>
      <c r="S12" s="14"/>
      <c r="T12" s="49" t="s">
        <v>19</v>
      </c>
      <c r="U12" s="80">
        <v>10.0</v>
      </c>
      <c r="V12" s="50">
        <v>291.0</v>
      </c>
      <c r="W12" s="51"/>
      <c r="X12" s="52"/>
      <c r="Y12" s="52"/>
      <c r="Z12" s="52"/>
      <c r="AA12" s="51"/>
      <c r="AB12" s="53"/>
      <c r="AC12" s="14">
        <f t="shared" ref="AC12:AG12" si="8">IF(V12="","", LOOKUP(V12, $D$160:$D$223, E$160:E$223))</f>
        <v>3.68</v>
      </c>
      <c r="AD12" s="14" t="str">
        <f t="shared" si="8"/>
        <v/>
      </c>
      <c r="AE12" s="14" t="str">
        <f t="shared" si="8"/>
        <v/>
      </c>
      <c r="AF12" s="14" t="str">
        <f t="shared" si="8"/>
        <v/>
      </c>
      <c r="AG12" s="14" t="str">
        <f t="shared" si="8"/>
        <v/>
      </c>
      <c r="AH12" s="14" t="str">
        <f t="shared" ref="AH12:AH17" si="13">if(AA12=1, 1, IF(AA12="", "", If(AA12&gt;$K$212, $L$212, if(AA12&gt;$K$211, $L$211, if(AA12&gt;$K$210, $L$210, if(AA12&gt;$K$209, $L$209, if(AA12&gt;$K$208, $L$208, if(AA12&gt;$K$206, $L$206, if(AA12&gt;$K$204, $L$204, if(AA12&gt;$K$202, $L$202, if(AA12&gt;$K$200, $L$200, if(AA12&gt;$K$198, $L$198, if(AA12&gt;$K$194, $L$194, if(AA12&gt;$K$190, $L$190, if(AA12&gt;$K$186, $L$186, if(AA12&gt;$K$182, $L$182, if(AA12&gt;$K$178, $L$178, $L$178)))))))))))))))))</f>
        <v/>
      </c>
      <c r="AI12" s="14">
        <f t="shared" ref="AI12:AI17" si="14">IF(SUM(AC12:AH12)=0, "", SUM(AC12:AH12))</f>
        <v>3.68</v>
      </c>
      <c r="AJ12" s="14"/>
      <c r="AK12" s="14">
        <f>IF(AI12="", "", IF(AI13="", IF(AI14="",AI12-AB12-1-AI15, AI12-AB12-1-AI14), AI12-AB12-1-AI13))</f>
        <v>-0.01</v>
      </c>
    </row>
    <row r="13" ht="12.75" customHeight="1">
      <c r="A13" s="54" t="s">
        <v>33</v>
      </c>
      <c r="B13" s="52"/>
      <c r="C13" s="51"/>
      <c r="D13" s="57"/>
      <c r="E13" s="54"/>
      <c r="F13" s="57"/>
      <c r="G13" s="57"/>
      <c r="H13" s="51"/>
      <c r="I13" s="57"/>
      <c r="J13" s="14" t="str">
        <f t="shared" ref="J13:N13" si="9">IF(C13="","", LOOKUP(C13, $D$160:$D$223, E$160:E$223))</f>
        <v/>
      </c>
      <c r="K13" s="14" t="str">
        <f t="shared" si="9"/>
        <v/>
      </c>
      <c r="L13" s="14" t="str">
        <f t="shared" si="9"/>
        <v/>
      </c>
      <c r="M13" s="14" t="str">
        <f t="shared" si="9"/>
        <v/>
      </c>
      <c r="N13" s="14" t="str">
        <f t="shared" si="9"/>
        <v/>
      </c>
      <c r="O13" s="14" t="str">
        <f t="shared" si="10"/>
        <v/>
      </c>
      <c r="P13" s="14" t="str">
        <f t="shared" si="11"/>
        <v/>
      </c>
      <c r="Q13" s="14" t="str">
        <f>Q15:R15</f>
        <v/>
      </c>
      <c r="R13" s="14" t="str">
        <f t="shared" ref="R13:R15" si="16">IF(P13="", "", IF(P14="", P13-I13-1-P15, P13-I13-1-P14))</f>
        <v/>
      </c>
      <c r="S13" s="14"/>
      <c r="T13" s="54" t="s">
        <v>33</v>
      </c>
      <c r="U13" s="52"/>
      <c r="V13" s="51"/>
      <c r="W13" s="57"/>
      <c r="X13" s="54"/>
      <c r="Y13" s="57"/>
      <c r="Z13" s="57"/>
      <c r="AA13" s="51"/>
      <c r="AB13" s="57"/>
      <c r="AC13" s="14" t="str">
        <f t="shared" ref="AC13:AG13" si="12">IF(V13="","", LOOKUP(V13, $D$160:$D$223, E$160:E$223))</f>
        <v/>
      </c>
      <c r="AD13" s="14" t="str">
        <f t="shared" si="12"/>
        <v/>
      </c>
      <c r="AE13" s="14" t="str">
        <f t="shared" si="12"/>
        <v/>
      </c>
      <c r="AF13" s="14" t="str">
        <f t="shared" si="12"/>
        <v/>
      </c>
      <c r="AG13" s="14" t="str">
        <f t="shared" si="12"/>
        <v/>
      </c>
      <c r="AH13" s="14" t="str">
        <f t="shared" si="13"/>
        <v/>
      </c>
      <c r="AI13" s="14" t="str">
        <f t="shared" si="14"/>
        <v/>
      </c>
      <c r="AJ13" s="14"/>
      <c r="AK13" s="14" t="str">
        <f t="shared" ref="AK13:AK15" si="18">IF(AI13="", "", IF(AI14="", AI13-AB13-1-AI15, AI13-AB13-1-AI14))</f>
        <v/>
      </c>
    </row>
    <row r="14" ht="12.75" customHeight="1">
      <c r="B14" s="52"/>
      <c r="C14" s="54"/>
      <c r="D14" s="57"/>
      <c r="E14" s="54"/>
      <c r="F14" s="57"/>
      <c r="G14" s="54"/>
      <c r="H14" s="51"/>
      <c r="I14" s="57"/>
      <c r="J14" s="14" t="str">
        <f t="shared" ref="J14:N14" si="15">IF(C14="","", LOOKUP(C14, $D$160:$D$223, E$160:E$223))</f>
        <v/>
      </c>
      <c r="K14" s="14" t="str">
        <f t="shared" si="15"/>
        <v/>
      </c>
      <c r="L14" s="14" t="str">
        <f t="shared" si="15"/>
        <v/>
      </c>
      <c r="M14" s="14" t="str">
        <f t="shared" si="15"/>
        <v/>
      </c>
      <c r="N14" s="14" t="str">
        <f t="shared" si="15"/>
        <v/>
      </c>
      <c r="O14" s="14"/>
      <c r="P14" s="14" t="str">
        <f t="shared" si="11"/>
        <v/>
      </c>
      <c r="Q14" s="14"/>
      <c r="R14" s="14" t="str">
        <f t="shared" si="16"/>
        <v/>
      </c>
      <c r="S14" s="14"/>
      <c r="U14" s="52"/>
      <c r="V14" s="57"/>
      <c r="W14" s="54"/>
      <c r="X14" s="54">
        <v>34.0</v>
      </c>
      <c r="Y14" s="57"/>
      <c r="Z14" s="57"/>
      <c r="AA14" s="51"/>
      <c r="AB14" s="57"/>
      <c r="AC14" s="14" t="str">
        <f t="shared" ref="AC14:AG14" si="17">IF(V14="","", LOOKUP(V14, $D$160:$D$223, E$160:E$223))</f>
        <v/>
      </c>
      <c r="AD14" s="14" t="str">
        <f t="shared" si="17"/>
        <v/>
      </c>
      <c r="AE14" s="14">
        <f t="shared" si="17"/>
        <v>2.69</v>
      </c>
      <c r="AF14" s="14" t="str">
        <f t="shared" si="17"/>
        <v/>
      </c>
      <c r="AG14" s="14" t="str">
        <f t="shared" si="17"/>
        <v/>
      </c>
      <c r="AH14" s="14" t="str">
        <f t="shared" si="13"/>
        <v/>
      </c>
      <c r="AI14" s="14">
        <f t="shared" si="14"/>
        <v>2.69</v>
      </c>
      <c r="AJ14" s="14"/>
      <c r="AK14" s="14">
        <f t="shared" si="18"/>
        <v>0.13</v>
      </c>
    </row>
    <row r="15" ht="12.75" customHeight="1">
      <c r="A15" s="55" t="s">
        <v>35</v>
      </c>
      <c r="B15" s="52"/>
      <c r="C15" s="51"/>
      <c r="D15" s="55"/>
      <c r="E15" s="55"/>
      <c r="F15" s="55"/>
      <c r="G15" s="58"/>
      <c r="H15" s="52"/>
      <c r="I15" s="58"/>
      <c r="J15" s="14" t="str">
        <f t="shared" ref="J15:N15" si="19">IF(C15="","", LOOKUP(C15, $D$160:$D$223, E$160:E$223))</f>
        <v/>
      </c>
      <c r="K15" s="14" t="str">
        <f t="shared" si="19"/>
        <v/>
      </c>
      <c r="L15" s="14" t="str">
        <f t="shared" si="19"/>
        <v/>
      </c>
      <c r="M15" s="14" t="str">
        <f t="shared" si="19"/>
        <v/>
      </c>
      <c r="N15" s="14" t="str">
        <f t="shared" si="19"/>
        <v/>
      </c>
      <c r="O15" s="14" t="str">
        <f>if(H15="", "", If(H15&gt;$K$212, $L$212, if(H15&gt;$K$211, $L$211, if(H15&gt;$K$210, $L$210, if(H15&gt;$K$209, $L$209, if(H15&gt;$K$208, $L$208, if(H15&gt;$K$206, $L$206, if(H15&gt;$K$204, $L$204, if(H15&gt;$K$202, $L$202, if(H15&gt;$K$200, $L$200, if(H15&gt;$K$198, $L$198, if(H15&gt;$K$194, $L$194, if(H15&gt;$K$190, $L$190, if(H15&gt;$K$186, $L$186, if(H15&gt;$K$182, $L$182, if(H15&gt;$K$178, $L$178, $L$178))))))))))))))))</f>
        <v/>
      </c>
      <c r="P15" s="14" t="str">
        <f t="shared" si="11"/>
        <v/>
      </c>
      <c r="Q15" s="14"/>
      <c r="R15" s="14" t="str">
        <f t="shared" si="16"/>
        <v/>
      </c>
      <c r="S15" s="14"/>
      <c r="T15" s="55" t="s">
        <v>35</v>
      </c>
      <c r="U15" s="52"/>
      <c r="V15" s="51"/>
      <c r="W15" s="55"/>
      <c r="X15" s="55"/>
      <c r="Y15" s="55"/>
      <c r="Z15" s="58"/>
      <c r="AA15" s="52"/>
      <c r="AB15" s="58"/>
      <c r="AC15" s="14" t="str">
        <f t="shared" ref="AC15:AG15" si="20">IF(V15="","", LOOKUP(V15, $D$160:$D$223, E$160:E$223))</f>
        <v/>
      </c>
      <c r="AD15" s="14" t="str">
        <f t="shared" si="20"/>
        <v/>
      </c>
      <c r="AE15" s="14" t="str">
        <f t="shared" si="20"/>
        <v/>
      </c>
      <c r="AF15" s="14" t="str">
        <f t="shared" si="20"/>
        <v/>
      </c>
      <c r="AG15" s="14" t="str">
        <f t="shared" si="20"/>
        <v/>
      </c>
      <c r="AH15" s="14" t="str">
        <f t="shared" si="13"/>
        <v/>
      </c>
      <c r="AI15" s="14" t="str">
        <f t="shared" si="14"/>
        <v/>
      </c>
      <c r="AJ15" s="14"/>
      <c r="AK15" s="14" t="str">
        <f t="shared" si="18"/>
        <v/>
      </c>
    </row>
    <row r="16" ht="12.75" customHeight="1">
      <c r="A16" s="56" t="s">
        <v>22</v>
      </c>
      <c r="B16" s="52"/>
      <c r="C16" s="51"/>
      <c r="D16" s="51"/>
      <c r="E16" s="51"/>
      <c r="F16" s="51"/>
      <c r="G16" s="51"/>
      <c r="H16" s="56"/>
      <c r="I16" s="56"/>
      <c r="J16" s="14" t="str">
        <f t="shared" ref="J16:N16" si="21">IF(C16="","", LOOKUP(C16, $D$160:$D$223, E$160:E$223))</f>
        <v/>
      </c>
      <c r="K16" s="14" t="str">
        <f t="shared" si="21"/>
        <v/>
      </c>
      <c r="L16" s="14" t="str">
        <f t="shared" si="21"/>
        <v/>
      </c>
      <c r="M16" s="14" t="str">
        <f t="shared" si="21"/>
        <v/>
      </c>
      <c r="N16" s="14" t="str">
        <f t="shared" si="21"/>
        <v/>
      </c>
      <c r="O16" s="14" t="str">
        <f t="shared" ref="O16:O18" si="24">if(H16=1, 1, IF(H16="", "", If(H16&gt;$K$212, $L$212, if(H16&gt;$K$211, $L$211, if(H16&gt;$K$210, $L$210, if(H16&gt;$K$209, $L$209, if(H16&gt;$K$208, $L$208, if(H16&gt;$K$206, $L$206, if(H16&gt;$K$204, $L$204, if(H16&gt;$K$202, $L$202, if(H16&gt;$K$200, $L$200, if(H16&gt;$K$198, $L$198, if(H16&gt;$K$194, $L$194, if(H16&gt;$K$190, $L$190, if(H16&gt;$K$186, $L$186, if(H16&gt;$K$182, $L$182, if(H16&gt;$K$178, $L$178, $L$178)))))))))))))))))</f>
        <v/>
      </c>
      <c r="P16" s="14" t="str">
        <f t="shared" si="11"/>
        <v/>
      </c>
      <c r="Q16" s="14"/>
      <c r="R16" s="14" t="str">
        <f t="shared" ref="R16:R17" si="25">IF(P16="", "", P16-I16-1-P17)</f>
        <v/>
      </c>
      <c r="S16" s="14"/>
      <c r="T16" s="56" t="s">
        <v>22</v>
      </c>
      <c r="U16" s="52"/>
      <c r="V16" s="51"/>
      <c r="W16" s="51"/>
      <c r="X16" s="51"/>
      <c r="Y16" s="51"/>
      <c r="Z16" s="51"/>
      <c r="AA16" s="56">
        <v>10.0</v>
      </c>
      <c r="AB16" s="59"/>
      <c r="AC16" s="14" t="str">
        <f t="shared" ref="AC16:AG16" si="22">IF(V16="","", LOOKUP(V16, $D$160:$D$223, E$160:E$223))</f>
        <v/>
      </c>
      <c r="AD16" s="14" t="str">
        <f t="shared" si="22"/>
        <v/>
      </c>
      <c r="AE16" s="14" t="str">
        <f t="shared" si="22"/>
        <v/>
      </c>
      <c r="AF16" s="14" t="str">
        <f t="shared" si="22"/>
        <v/>
      </c>
      <c r="AG16" s="14" t="str">
        <f t="shared" si="22"/>
        <v/>
      </c>
      <c r="AH16" s="14">
        <f t="shared" si="13"/>
        <v>1.56</v>
      </c>
      <c r="AI16" s="14">
        <f t="shared" si="14"/>
        <v>1.56</v>
      </c>
      <c r="AJ16" s="14"/>
      <c r="AK16" s="14">
        <f t="shared" ref="AK16:AK17" si="27">IF(AI16="", "", AI16-AB16-1-AI17)</f>
        <v>-0.44</v>
      </c>
    </row>
    <row r="17" ht="12.75" customHeight="1">
      <c r="A17" s="14"/>
      <c r="B17" s="52"/>
      <c r="C17" s="51"/>
      <c r="D17" s="51"/>
      <c r="E17" s="51"/>
      <c r="F17" s="51"/>
      <c r="G17" s="51"/>
      <c r="H17" s="56"/>
      <c r="I17" s="61"/>
      <c r="J17" s="14" t="str">
        <f t="shared" ref="J17:N17" si="23">IF(C17="","", LOOKUP(C17, $D$160:$D$223, E$160:E$223))</f>
        <v/>
      </c>
      <c r="K17" s="14" t="str">
        <f t="shared" si="23"/>
        <v/>
      </c>
      <c r="L17" s="14" t="str">
        <f t="shared" si="23"/>
        <v/>
      </c>
      <c r="M17" s="14" t="str">
        <f t="shared" si="23"/>
        <v/>
      </c>
      <c r="N17" s="14" t="str">
        <f t="shared" si="23"/>
        <v/>
      </c>
      <c r="O17" s="14" t="str">
        <f t="shared" si="24"/>
        <v/>
      </c>
      <c r="P17" s="14" t="str">
        <f t="shared" si="11"/>
        <v/>
      </c>
      <c r="Q17" s="14"/>
      <c r="R17" s="14" t="str">
        <f t="shared" si="25"/>
        <v/>
      </c>
      <c r="S17" s="14"/>
      <c r="T17" s="47"/>
      <c r="U17" s="52"/>
      <c r="V17" s="51"/>
      <c r="W17" s="51"/>
      <c r="X17" s="51"/>
      <c r="Y17" s="51"/>
      <c r="Z17" s="51"/>
      <c r="AA17" s="56">
        <v>1.0</v>
      </c>
      <c r="AB17" s="60"/>
      <c r="AC17" s="14" t="str">
        <f t="shared" ref="AC17:AG17" si="26">IF(V17="","", LOOKUP(V17, $D$160:$D$223, E$160:E$223))</f>
        <v/>
      </c>
      <c r="AD17" s="14" t="str">
        <f t="shared" si="26"/>
        <v/>
      </c>
      <c r="AE17" s="14" t="str">
        <f t="shared" si="26"/>
        <v/>
      </c>
      <c r="AF17" s="14" t="str">
        <f t="shared" si="26"/>
        <v/>
      </c>
      <c r="AG17" s="14" t="str">
        <f t="shared" si="26"/>
        <v/>
      </c>
      <c r="AH17" s="14">
        <f t="shared" si="13"/>
        <v>1</v>
      </c>
      <c r="AI17" s="14">
        <f t="shared" si="14"/>
        <v>1</v>
      </c>
      <c r="AJ17" s="14"/>
      <c r="AK17" s="14">
        <f t="shared" si="27"/>
        <v>0</v>
      </c>
    </row>
    <row r="18" ht="12.75" customHeight="1">
      <c r="A18" s="14"/>
      <c r="B18" s="34"/>
      <c r="J18" s="14" t="str">
        <f t="shared" ref="J18:N18" si="28">IF(C18="","", LOOKUP(C18, $D$160:$D$223, E$160:E$223))</f>
        <v/>
      </c>
      <c r="K18" s="14" t="str">
        <f t="shared" si="28"/>
        <v/>
      </c>
      <c r="L18" s="14" t="str">
        <f t="shared" si="28"/>
        <v/>
      </c>
      <c r="M18" s="14" t="str">
        <f t="shared" si="28"/>
        <v/>
      </c>
      <c r="N18" s="14" t="str">
        <f t="shared" si="28"/>
        <v/>
      </c>
      <c r="O18" s="14" t="str">
        <f t="shared" si="24"/>
        <v/>
      </c>
      <c r="P18" s="14" t="str">
        <f t="shared" si="11"/>
        <v/>
      </c>
      <c r="Q18" s="14"/>
      <c r="R18" s="14" t="str">
        <f>IF(P18="", "", P18-I18-1-P20)</f>
        <v/>
      </c>
      <c r="S18" s="14"/>
      <c r="T18" s="47"/>
      <c r="U18" s="47"/>
      <c r="V18" s="47" t="s">
        <v>12</v>
      </c>
      <c r="W18" s="47" t="s">
        <v>13</v>
      </c>
      <c r="X18" s="47" t="s">
        <v>14</v>
      </c>
      <c r="Y18" s="47" t="s">
        <v>15</v>
      </c>
      <c r="Z18" s="47" t="s">
        <v>16</v>
      </c>
      <c r="AA18" s="47" t="s">
        <v>17</v>
      </c>
      <c r="AB18" s="47" t="s">
        <v>18</v>
      </c>
      <c r="AC18" s="14"/>
      <c r="AD18" s="14"/>
      <c r="AE18" s="14"/>
      <c r="AF18" s="14"/>
      <c r="AG18" s="14"/>
      <c r="AH18" s="14"/>
      <c r="AI18" s="14"/>
      <c r="AJ18" s="14"/>
      <c r="AK18" s="14"/>
    </row>
    <row r="19" ht="12.75" customHeight="1">
      <c r="A19" s="47"/>
      <c r="B19" s="47"/>
      <c r="C19" s="47" t="s">
        <v>12</v>
      </c>
      <c r="D19" s="47" t="s">
        <v>13</v>
      </c>
      <c r="E19" s="47" t="s">
        <v>14</v>
      </c>
      <c r="F19" s="47" t="s">
        <v>15</v>
      </c>
      <c r="G19" s="47" t="s">
        <v>16</v>
      </c>
      <c r="H19" s="47" t="s">
        <v>17</v>
      </c>
      <c r="I19" s="47" t="s">
        <v>18</v>
      </c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49" t="s">
        <v>19</v>
      </c>
      <c r="U19" s="80">
        <v>11.0</v>
      </c>
      <c r="V19" s="50"/>
      <c r="W19" s="51"/>
      <c r="X19" s="52"/>
      <c r="Y19" s="52"/>
      <c r="Z19" s="52"/>
      <c r="AA19" s="51"/>
      <c r="AB19" s="53"/>
      <c r="AC19" s="14" t="str">
        <f t="shared" ref="AC19:AG19" si="29">IF(V19="","", LOOKUP(V19, $D$160:$D$223, E$160:E$223))</f>
        <v/>
      </c>
      <c r="AD19" s="14" t="str">
        <f t="shared" si="29"/>
        <v/>
      </c>
      <c r="AE19" s="14" t="str">
        <f t="shared" si="29"/>
        <v/>
      </c>
      <c r="AF19" s="14" t="str">
        <f t="shared" si="29"/>
        <v/>
      </c>
      <c r="AG19" s="14" t="str">
        <f t="shared" si="29"/>
        <v/>
      </c>
      <c r="AH19" s="14" t="str">
        <f t="shared" ref="AH19:AH24" si="32">if(AA19=1, 1, IF(AA19="", "", If(AA19&gt;$K$212, $L$212, if(AA19&gt;$K$211, $L$211, if(AA19&gt;$K$210, $L$210, if(AA19&gt;$K$209, $L$209, if(AA19&gt;$K$208, $L$208, if(AA19&gt;$K$206, $L$206, if(AA19&gt;$K$204, $L$204, if(AA19&gt;$K$202, $L$202, if(AA19&gt;$K$200, $L$200, if(AA19&gt;$K$198, $L$198, if(AA19&gt;$K$194, $L$194, if(AA19&gt;$K$190, $L$190, if(AA19&gt;$K$186, $L$186, if(AA19&gt;$K$182, $L$182, if(AA19&gt;$K$178, $L$178, $L$178)))))))))))))))))</f>
        <v/>
      </c>
      <c r="AI19" s="14" t="str">
        <f t="shared" ref="AI19:AI24" si="33">IF(SUM(AC19:AH19)=0, "", SUM(AC19:AH19))</f>
        <v/>
      </c>
      <c r="AJ19" s="14"/>
      <c r="AK19" s="14" t="str">
        <f>IF(AI19="", "", IF(AI20="", IF(AI21="",AI19-AB19-1-AI22, AI19-AB19-1-AI21), AI19-AB19-1-AI20))</f>
        <v/>
      </c>
    </row>
    <row r="20" ht="12.75" customHeight="1">
      <c r="A20" s="49" t="s">
        <v>19</v>
      </c>
      <c r="B20" s="80">
        <v>2.0</v>
      </c>
      <c r="C20" s="50"/>
      <c r="D20" s="51"/>
      <c r="E20" s="52"/>
      <c r="F20" s="52"/>
      <c r="G20" s="52"/>
      <c r="H20" s="51"/>
      <c r="I20" s="53"/>
      <c r="J20" s="14" t="str">
        <f t="shared" ref="J20:N20" si="30">IF(C20="","", LOOKUP(C20, $D$160:$D$223, E$160:E$223))</f>
        <v/>
      </c>
      <c r="K20" s="14" t="str">
        <f t="shared" si="30"/>
        <v/>
      </c>
      <c r="L20" s="14" t="str">
        <f t="shared" si="30"/>
        <v/>
      </c>
      <c r="M20" s="14" t="str">
        <f t="shared" si="30"/>
        <v/>
      </c>
      <c r="N20" s="14" t="str">
        <f t="shared" si="30"/>
        <v/>
      </c>
      <c r="O20" s="14" t="str">
        <f t="shared" ref="O20:O25" si="35">if(H20=1, 1, IF(H20="", "", If(H20&gt;$K$212, $L$212, if(H20&gt;$K$211, $L$211, if(H20&gt;$K$210, $L$210, if(H20&gt;$K$209, $L$209, if(H20&gt;$K$208, $L$208, if(H20&gt;$K$206, $L$206, if(H20&gt;$K$204, $L$204, if(H20&gt;$K$202, $L$202, if(H20&gt;$K$200, $L$200, if(H20&gt;$K$198, $L$198, if(H20&gt;$K$194, $L$194, if(H20&gt;$K$190, $L$190, if(H20&gt;$K$186, $L$186, if(H20&gt;$K$182, $L$182, if(H20&gt;$K$178, $L$178, $L$178)))))))))))))))))</f>
        <v/>
      </c>
      <c r="P20" s="14" t="str">
        <f t="shared" ref="P20:P25" si="36">IF(SUM(J20:O20)=0, "", SUM(J20:O20))</f>
        <v/>
      </c>
      <c r="Q20" s="14"/>
      <c r="R20" s="14" t="str">
        <f>IF(P20="", "", IF(P21="", IF(P22="",P20-I20-1-P23, P20-I20-1-P22), P20-I20-1-P21))</f>
        <v/>
      </c>
      <c r="S20" s="14"/>
      <c r="T20" s="54" t="s">
        <v>33</v>
      </c>
      <c r="U20" s="52"/>
      <c r="V20" s="51"/>
      <c r="W20" s="57"/>
      <c r="X20" s="54"/>
      <c r="Y20" s="57"/>
      <c r="Z20" s="57"/>
      <c r="AA20" s="51"/>
      <c r="AB20" s="57"/>
      <c r="AC20" s="14" t="str">
        <f t="shared" ref="AC20:AG20" si="31">IF(V20="","", LOOKUP(V20, $D$160:$D$223, E$160:E$223))</f>
        <v/>
      </c>
      <c r="AD20" s="14" t="str">
        <f t="shared" si="31"/>
        <v/>
      </c>
      <c r="AE20" s="14" t="str">
        <f t="shared" si="31"/>
        <v/>
      </c>
      <c r="AF20" s="14" t="str">
        <f t="shared" si="31"/>
        <v/>
      </c>
      <c r="AG20" s="14" t="str">
        <f t="shared" si="31"/>
        <v/>
      </c>
      <c r="AH20" s="14" t="str">
        <f t="shared" si="32"/>
        <v/>
      </c>
      <c r="AI20" s="14" t="str">
        <f t="shared" si="33"/>
        <v/>
      </c>
      <c r="AJ20" s="14"/>
      <c r="AK20" s="14" t="str">
        <f t="shared" ref="AK20:AK22" si="38">IF(AI20="", "", IF(AI21="", AI20-AB20-1-AI22, AI20-AB20-1-AI21))</f>
        <v/>
      </c>
    </row>
    <row r="21" ht="12.75" customHeight="1">
      <c r="A21" s="54" t="s">
        <v>33</v>
      </c>
      <c r="B21" s="52"/>
      <c r="C21" s="51"/>
      <c r="D21" s="57"/>
      <c r="E21" s="54"/>
      <c r="F21" s="57"/>
      <c r="G21" s="57"/>
      <c r="H21" s="51"/>
      <c r="I21" s="57"/>
      <c r="J21" s="14" t="str">
        <f t="shared" ref="J21:N21" si="34">IF(C21="","", LOOKUP(C21, $D$160:$D$223, E$160:E$223))</f>
        <v/>
      </c>
      <c r="K21" s="14" t="str">
        <f t="shared" si="34"/>
        <v/>
      </c>
      <c r="L21" s="14" t="str">
        <f t="shared" si="34"/>
        <v/>
      </c>
      <c r="M21" s="14" t="str">
        <f t="shared" si="34"/>
        <v/>
      </c>
      <c r="N21" s="14" t="str">
        <f t="shared" si="34"/>
        <v/>
      </c>
      <c r="O21" s="14" t="str">
        <f t="shared" si="35"/>
        <v/>
      </c>
      <c r="P21" s="14" t="str">
        <f t="shared" si="36"/>
        <v/>
      </c>
      <c r="Q21" s="14"/>
      <c r="R21" s="14" t="str">
        <f t="shared" ref="R21:R23" si="40">IF(P21="", "", IF(P22="", P21-I21-1-P23, P21-I21-1-P22))</f>
        <v/>
      </c>
      <c r="S21" s="14"/>
      <c r="U21" s="52"/>
      <c r="V21" s="54">
        <v>143.0</v>
      </c>
      <c r="W21" s="54"/>
      <c r="X21" s="54"/>
      <c r="Y21" s="57"/>
      <c r="Z21" s="57"/>
      <c r="AA21" s="51"/>
      <c r="AB21" s="54">
        <v>2.0</v>
      </c>
      <c r="AC21" s="14">
        <f t="shared" ref="AC21:AG21" si="37">IF(V21="","", LOOKUP(V21, $D$160:$D$223, E$160:E$223))</f>
        <v>2.97</v>
      </c>
      <c r="AD21" s="14" t="str">
        <f t="shared" si="37"/>
        <v/>
      </c>
      <c r="AE21" s="14" t="str">
        <f t="shared" si="37"/>
        <v/>
      </c>
      <c r="AF21" s="14" t="str">
        <f t="shared" si="37"/>
        <v/>
      </c>
      <c r="AG21" s="14" t="str">
        <f t="shared" si="37"/>
        <v/>
      </c>
      <c r="AH21" s="14" t="str">
        <f t="shared" si="32"/>
        <v/>
      </c>
      <c r="AI21" s="14">
        <f t="shared" si="33"/>
        <v>2.97</v>
      </c>
      <c r="AJ21" s="14"/>
      <c r="AK21" s="14">
        <f t="shared" si="38"/>
        <v>-2.72</v>
      </c>
    </row>
    <row r="22" ht="12.75" customHeight="1">
      <c r="B22" s="52"/>
      <c r="C22" s="57"/>
      <c r="D22" s="57"/>
      <c r="E22" s="54"/>
      <c r="F22" s="57"/>
      <c r="G22" s="57"/>
      <c r="H22" s="51"/>
      <c r="I22" s="57"/>
      <c r="J22" s="14" t="str">
        <f t="shared" ref="J22:N22" si="39">IF(C22="","", LOOKUP(C22, $D$160:$D$223, E$160:E$223))</f>
        <v/>
      </c>
      <c r="K22" s="14" t="str">
        <f t="shared" si="39"/>
        <v/>
      </c>
      <c r="L22" s="14" t="str">
        <f t="shared" si="39"/>
        <v/>
      </c>
      <c r="M22" s="14" t="str">
        <f t="shared" si="39"/>
        <v/>
      </c>
      <c r="N22" s="14" t="str">
        <f t="shared" si="39"/>
        <v/>
      </c>
      <c r="O22" s="14" t="str">
        <f t="shared" si="35"/>
        <v/>
      </c>
      <c r="P22" s="14" t="str">
        <f t="shared" si="36"/>
        <v/>
      </c>
      <c r="Q22" s="14"/>
      <c r="R22" s="14" t="str">
        <f t="shared" si="40"/>
        <v/>
      </c>
      <c r="S22" s="14"/>
      <c r="T22" s="55" t="s">
        <v>35</v>
      </c>
      <c r="U22" s="52"/>
      <c r="V22" s="51"/>
      <c r="W22" s="55"/>
      <c r="X22" s="55">
        <v>30.0</v>
      </c>
      <c r="Y22" s="55"/>
      <c r="Z22" s="58"/>
      <c r="AA22" s="52"/>
      <c r="AB22" s="58"/>
      <c r="AC22" s="14" t="str">
        <f t="shared" ref="AC22:AG22" si="41">IF(V22="","", LOOKUP(V22, $D$160:$D$223, E$160:E$223))</f>
        <v/>
      </c>
      <c r="AD22" s="14" t="str">
        <f t="shared" si="41"/>
        <v/>
      </c>
      <c r="AE22" s="14">
        <f t="shared" si="41"/>
        <v>2.69</v>
      </c>
      <c r="AF22" s="14" t="str">
        <f t="shared" si="41"/>
        <v/>
      </c>
      <c r="AG22" s="14" t="str">
        <f t="shared" si="41"/>
        <v/>
      </c>
      <c r="AH22" s="14" t="str">
        <f t="shared" si="32"/>
        <v/>
      </c>
      <c r="AI22" s="14">
        <f t="shared" si="33"/>
        <v>2.69</v>
      </c>
      <c r="AJ22" s="14"/>
      <c r="AK22" s="14">
        <f t="shared" si="38"/>
        <v>-0.18</v>
      </c>
    </row>
    <row r="23" ht="12.75" customHeight="1">
      <c r="A23" s="55" t="s">
        <v>35</v>
      </c>
      <c r="B23" s="52"/>
      <c r="C23" s="51"/>
      <c r="D23" s="55"/>
      <c r="E23" s="55"/>
      <c r="F23" s="55"/>
      <c r="G23" s="58"/>
      <c r="H23" s="52"/>
      <c r="I23" s="58"/>
      <c r="J23" s="14" t="str">
        <f t="shared" ref="J23:N23" si="42">IF(C23="","", LOOKUP(C23, $D$160:$D$223, E$160:E$223))</f>
        <v/>
      </c>
      <c r="K23" s="14" t="str">
        <f t="shared" si="42"/>
        <v/>
      </c>
      <c r="L23" s="14" t="str">
        <f t="shared" si="42"/>
        <v/>
      </c>
      <c r="M23" s="14" t="str">
        <f t="shared" si="42"/>
        <v/>
      </c>
      <c r="N23" s="14" t="str">
        <f t="shared" si="42"/>
        <v/>
      </c>
      <c r="O23" s="14" t="str">
        <f t="shared" si="35"/>
        <v/>
      </c>
      <c r="P23" s="14" t="str">
        <f t="shared" si="36"/>
        <v/>
      </c>
      <c r="Q23" s="14"/>
      <c r="R23" s="14" t="str">
        <f t="shared" si="40"/>
        <v/>
      </c>
      <c r="S23" s="14"/>
      <c r="T23" s="56" t="s">
        <v>22</v>
      </c>
      <c r="U23" s="52"/>
      <c r="V23" s="51"/>
      <c r="W23" s="51"/>
      <c r="X23" s="51"/>
      <c r="Y23" s="51"/>
      <c r="Z23" s="51"/>
      <c r="AA23" s="56">
        <v>30.0</v>
      </c>
      <c r="AB23" s="59"/>
      <c r="AC23" s="14" t="str">
        <f t="shared" ref="AC23:AG23" si="43">IF(V23="","", LOOKUP(V23, $D$160:$D$223, E$160:E$223))</f>
        <v/>
      </c>
      <c r="AD23" s="14" t="str">
        <f t="shared" si="43"/>
        <v/>
      </c>
      <c r="AE23" s="14" t="str">
        <f t="shared" si="43"/>
        <v/>
      </c>
      <c r="AF23" s="14" t="str">
        <f t="shared" si="43"/>
        <v/>
      </c>
      <c r="AG23" s="14" t="str">
        <f t="shared" si="43"/>
        <v/>
      </c>
      <c r="AH23" s="14">
        <f t="shared" si="32"/>
        <v>1.87</v>
      </c>
      <c r="AI23" s="14">
        <f t="shared" si="33"/>
        <v>1.87</v>
      </c>
      <c r="AJ23" s="14"/>
      <c r="AK23" s="14">
        <f t="shared" ref="AK23:AK24" si="46">IF(AI23="", "", AI23-AB23-1-AI24)</f>
        <v>-0.17</v>
      </c>
    </row>
    <row r="24" ht="12.75" customHeight="1">
      <c r="A24" s="56" t="s">
        <v>22</v>
      </c>
      <c r="B24" s="52"/>
      <c r="C24" s="51"/>
      <c r="D24" s="51"/>
      <c r="E24" s="51"/>
      <c r="F24" s="51"/>
      <c r="G24" s="51"/>
      <c r="H24" s="56"/>
      <c r="I24" s="59"/>
      <c r="J24" s="14" t="str">
        <f t="shared" ref="J24:N24" si="44">IF(C24="","", LOOKUP(C24, $D$160:$D$223, E$160:E$223))</f>
        <v/>
      </c>
      <c r="K24" s="14" t="str">
        <f t="shared" si="44"/>
        <v/>
      </c>
      <c r="L24" s="14" t="str">
        <f t="shared" si="44"/>
        <v/>
      </c>
      <c r="M24" s="14" t="str">
        <f t="shared" si="44"/>
        <v/>
      </c>
      <c r="N24" s="14" t="str">
        <f t="shared" si="44"/>
        <v/>
      </c>
      <c r="O24" s="14" t="str">
        <f t="shared" si="35"/>
        <v/>
      </c>
      <c r="P24" s="14" t="str">
        <f t="shared" si="36"/>
        <v/>
      </c>
      <c r="Q24" s="14"/>
      <c r="R24" s="14" t="str">
        <f t="shared" ref="R24:R25" si="48">IF(P24="", "", P24-I24-1-P25)</f>
        <v/>
      </c>
      <c r="S24" s="14"/>
      <c r="T24" s="47"/>
      <c r="U24" s="52"/>
      <c r="V24" s="51"/>
      <c r="W24" s="51"/>
      <c r="X24" s="51"/>
      <c r="Y24" s="51"/>
      <c r="Z24" s="51"/>
      <c r="AA24" s="56">
        <v>4.0</v>
      </c>
      <c r="AB24" s="60"/>
      <c r="AC24" s="14" t="str">
        <f t="shared" ref="AC24:AG24" si="45">IF(V24="","", LOOKUP(V24, $D$160:$D$223, E$160:E$223))</f>
        <v/>
      </c>
      <c r="AD24" s="14" t="str">
        <f t="shared" si="45"/>
        <v/>
      </c>
      <c r="AE24" s="14" t="str">
        <f t="shared" si="45"/>
        <v/>
      </c>
      <c r="AF24" s="14" t="str">
        <f t="shared" si="45"/>
        <v/>
      </c>
      <c r="AG24" s="14" t="str">
        <f t="shared" si="45"/>
        <v/>
      </c>
      <c r="AH24" s="14">
        <f t="shared" si="32"/>
        <v>1.04</v>
      </c>
      <c r="AI24" s="14">
        <f t="shared" si="33"/>
        <v>1.04</v>
      </c>
      <c r="AJ24" s="14"/>
      <c r="AK24" s="14">
        <f t="shared" si="46"/>
        <v>0.04</v>
      </c>
    </row>
    <row r="25" ht="12.75" customHeight="1">
      <c r="A25" s="14"/>
      <c r="B25" s="52"/>
      <c r="C25" s="51"/>
      <c r="D25" s="51"/>
      <c r="E25" s="51"/>
      <c r="F25" s="51"/>
      <c r="G25" s="51"/>
      <c r="H25" s="56"/>
      <c r="I25" s="60"/>
      <c r="J25" s="14" t="str">
        <f t="shared" ref="J25:N25" si="47">IF(C25="","", LOOKUP(C25, $D$160:$D$223, E$160:E$223))</f>
        <v/>
      </c>
      <c r="K25" s="14" t="str">
        <f t="shared" si="47"/>
        <v/>
      </c>
      <c r="L25" s="14" t="str">
        <f t="shared" si="47"/>
        <v/>
      </c>
      <c r="M25" s="14" t="str">
        <f t="shared" si="47"/>
        <v/>
      </c>
      <c r="N25" s="14" t="str">
        <f t="shared" si="47"/>
        <v/>
      </c>
      <c r="O25" s="14" t="str">
        <f t="shared" si="35"/>
        <v/>
      </c>
      <c r="P25" s="14" t="str">
        <f t="shared" si="36"/>
        <v/>
      </c>
      <c r="Q25" s="14"/>
      <c r="R25" s="14" t="str">
        <f t="shared" si="48"/>
        <v/>
      </c>
      <c r="S25" s="14"/>
      <c r="T25" s="47"/>
      <c r="U25" s="47"/>
      <c r="V25" s="47" t="s">
        <v>12</v>
      </c>
      <c r="W25" s="47" t="s">
        <v>13</v>
      </c>
      <c r="X25" s="47" t="s">
        <v>14</v>
      </c>
      <c r="Y25" s="47" t="s">
        <v>15</v>
      </c>
      <c r="Z25" s="47" t="s">
        <v>16</v>
      </c>
      <c r="AA25" s="47" t="s">
        <v>17</v>
      </c>
      <c r="AB25" s="47" t="s">
        <v>18</v>
      </c>
      <c r="AC25" s="14"/>
      <c r="AD25" s="14"/>
      <c r="AE25" s="14"/>
      <c r="AF25" s="14"/>
      <c r="AG25" s="14"/>
      <c r="AH25" s="14"/>
      <c r="AI25" s="14"/>
      <c r="AJ25" s="14"/>
      <c r="AK25" s="14"/>
    </row>
    <row r="26" ht="12.75" customHeight="1">
      <c r="A26" s="14"/>
      <c r="B26" s="47"/>
      <c r="C26" s="47" t="s">
        <v>12</v>
      </c>
      <c r="D26" s="47" t="s">
        <v>13</v>
      </c>
      <c r="E26" s="47" t="s">
        <v>14</v>
      </c>
      <c r="F26" s="47" t="s">
        <v>15</v>
      </c>
      <c r="G26" s="47" t="s">
        <v>16</v>
      </c>
      <c r="H26" s="47" t="s">
        <v>17</v>
      </c>
      <c r="I26" s="47" t="s">
        <v>18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49" t="s">
        <v>19</v>
      </c>
      <c r="U26" s="80">
        <v>12.0</v>
      </c>
      <c r="V26" s="50">
        <v>330.0</v>
      </c>
      <c r="W26" s="51"/>
      <c r="X26" s="52"/>
      <c r="Y26" s="52"/>
      <c r="Z26" s="52"/>
      <c r="AA26" s="51"/>
      <c r="AB26" s="53"/>
      <c r="AC26" s="14">
        <f t="shared" ref="AC26:AG26" si="49">IF(V26="","", LOOKUP(V26, $D$160:$D$223, E$160:E$223))</f>
        <v>3.79</v>
      </c>
      <c r="AD26" s="14" t="str">
        <f t="shared" si="49"/>
        <v/>
      </c>
      <c r="AE26" s="14" t="str">
        <f t="shared" si="49"/>
        <v/>
      </c>
      <c r="AF26" s="14" t="str">
        <f t="shared" si="49"/>
        <v/>
      </c>
      <c r="AG26" s="14" t="str">
        <f t="shared" si="49"/>
        <v/>
      </c>
      <c r="AH26" s="14" t="str">
        <f t="shared" ref="AH26:AH31" si="52">if(AA26=1, 1, IF(AA26="", "", If(AA26&gt;$K$212, $L$212, if(AA26&gt;$K$211, $L$211, if(AA26&gt;$K$210, $L$210, if(AA26&gt;$K$209, $L$209, if(AA26&gt;$K$208, $L$208, if(AA26&gt;$K$206, $L$206, if(AA26&gt;$K$204, $L$204, if(AA26&gt;$K$202, $L$202, if(AA26&gt;$K$200, $L$200, if(AA26&gt;$K$198, $L$198, if(AA26&gt;$K$194, $L$194, if(AA26&gt;$K$190, $L$190, if(AA26&gt;$K$186, $L$186, if(AA26&gt;$K$182, $L$182, if(AA26&gt;$K$178, $L$178, $L$178)))))))))))))))))</f>
        <v/>
      </c>
      <c r="AI26" s="14">
        <f t="shared" ref="AI26:AI31" si="53">IF(SUM(AC26:AH26)=0, "", SUM(AC26:AH26))</f>
        <v>3.79</v>
      </c>
      <c r="AJ26" s="14"/>
      <c r="AK26" s="14">
        <f>IF(AI26="", "", IF(AI27="", IF(AI28="",AI26-AB26-1-AI29, AI26-AB26-1-AI28), AI26-AB26-1-AI27))</f>
        <v>-0.13</v>
      </c>
    </row>
    <row r="27" ht="12.75" customHeight="1">
      <c r="A27" s="49" t="s">
        <v>19</v>
      </c>
      <c r="B27" s="80">
        <v>3.0</v>
      </c>
      <c r="C27" s="49"/>
      <c r="D27" s="53"/>
      <c r="E27" s="53"/>
      <c r="F27" s="53"/>
      <c r="G27" s="53"/>
      <c r="H27" s="53"/>
      <c r="I27" s="53"/>
      <c r="J27" s="14" t="str">
        <f t="shared" ref="J27:N27" si="50">IF(C27="","", LOOKUP(C27, $D$160:$D$223, E$160:E$223))</f>
        <v/>
      </c>
      <c r="K27" s="14" t="str">
        <f t="shared" si="50"/>
        <v/>
      </c>
      <c r="L27" s="14" t="str">
        <f t="shared" si="50"/>
        <v/>
      </c>
      <c r="M27" s="14" t="str">
        <f t="shared" si="50"/>
        <v/>
      </c>
      <c r="N27" s="14" t="str">
        <f t="shared" si="50"/>
        <v/>
      </c>
      <c r="O27" s="14" t="str">
        <f t="shared" ref="O27:O32" si="55">if(H27=1, 1, IF(H27="", "", If(H27&gt;$K$212, $L$212, if(H27&gt;$K$211, $L$211, if(H27&gt;$K$210, $L$210, if(H27&gt;$K$209, $L$209, if(H27&gt;$K$208, $L$208, if(H27&gt;$K$206, $L$206, if(H27&gt;$K$204, $L$204, if(H27&gt;$K$202, $L$202, if(H27&gt;$K$200, $L$200, if(H27&gt;$K$198, $L$198, if(H27&gt;$K$194, $L$194, if(H27&gt;$K$190, $L$190, if(H27&gt;$K$186, $L$186, if(H27&gt;$K$182, $L$182, if(H27&gt;$K$178, $L$178, $L$178)))))))))))))))))</f>
        <v/>
      </c>
      <c r="P27" s="14" t="str">
        <f t="shared" ref="P27:P32" si="56">IF(SUM(J27:O27)=0, "", SUM(J27:O27))</f>
        <v/>
      </c>
      <c r="Q27" s="14"/>
      <c r="R27" s="14" t="str">
        <f>IF(P27="", "", IF(P28="", IF(P29="",P27-I27-1-P30, P27-I27-1-P29), P27-I27-1-P28))</f>
        <v/>
      </c>
      <c r="S27" s="14"/>
      <c r="T27" s="54" t="s">
        <v>33</v>
      </c>
      <c r="U27" s="52"/>
      <c r="V27" s="51"/>
      <c r="W27" s="57"/>
      <c r="X27" s="54"/>
      <c r="Y27" s="57"/>
      <c r="Z27" s="54"/>
      <c r="AA27" s="51"/>
      <c r="AB27" s="57"/>
      <c r="AC27" s="14" t="str">
        <f t="shared" ref="AC27:AG27" si="51">IF(V27="","", LOOKUP(V27, $D$160:$D$223, E$160:E$223))</f>
        <v/>
      </c>
      <c r="AD27" s="14" t="str">
        <f t="shared" si="51"/>
        <v/>
      </c>
      <c r="AE27" s="14" t="str">
        <f t="shared" si="51"/>
        <v/>
      </c>
      <c r="AF27" s="14" t="str">
        <f t="shared" si="51"/>
        <v/>
      </c>
      <c r="AG27" s="14" t="str">
        <f t="shared" si="51"/>
        <v/>
      </c>
      <c r="AH27" s="14" t="str">
        <f t="shared" si="52"/>
        <v/>
      </c>
      <c r="AI27" s="14" t="str">
        <f t="shared" si="53"/>
        <v/>
      </c>
      <c r="AJ27" s="14"/>
      <c r="AK27" s="14" t="str">
        <f t="shared" ref="AK27:AK29" si="58">IF(AI27="", "", IF(AI28="", AI27-AB27-1-AI29, AI27-AB27-1-AI28))</f>
        <v/>
      </c>
    </row>
    <row r="28" ht="12.75" customHeight="1">
      <c r="A28" s="54" t="s">
        <v>33</v>
      </c>
      <c r="B28" s="52"/>
      <c r="C28" s="51"/>
      <c r="D28" s="57"/>
      <c r="E28" s="54"/>
      <c r="F28" s="57"/>
      <c r="G28" s="57"/>
      <c r="H28" s="51"/>
      <c r="I28" s="57"/>
      <c r="J28" s="14" t="str">
        <f t="shared" ref="J28:N28" si="54">IF(C28="","", LOOKUP(C28, $D$160:$D$223, E$160:E$223))</f>
        <v/>
      </c>
      <c r="K28" s="14" t="str">
        <f t="shared" si="54"/>
        <v/>
      </c>
      <c r="L28" s="14" t="str">
        <f t="shared" si="54"/>
        <v/>
      </c>
      <c r="M28" s="14" t="str">
        <f t="shared" si="54"/>
        <v/>
      </c>
      <c r="N28" s="14" t="str">
        <f t="shared" si="54"/>
        <v/>
      </c>
      <c r="O28" s="14" t="str">
        <f t="shared" si="55"/>
        <v/>
      </c>
      <c r="P28" s="14" t="str">
        <f t="shared" si="56"/>
        <v/>
      </c>
      <c r="Q28" s="14"/>
      <c r="R28" s="14" t="str">
        <f t="shared" ref="R28:R30" si="60">IF(P28="", "", IF(P29="", P28-I28-1-P30, P28-I28-1-P29))</f>
        <v/>
      </c>
      <c r="S28" s="14"/>
      <c r="U28" s="52"/>
      <c r="V28" s="54"/>
      <c r="W28" s="57"/>
      <c r="X28" s="54">
        <v>67.0</v>
      </c>
      <c r="Y28" s="57"/>
      <c r="Z28" s="54"/>
      <c r="AA28" s="51"/>
      <c r="AB28" s="57"/>
      <c r="AC28" s="14" t="str">
        <f t="shared" ref="AC28:AG28" si="57">IF(V28="","", LOOKUP(V28, $D$160:$D$223, E$160:E$223))</f>
        <v/>
      </c>
      <c r="AD28" s="14" t="str">
        <f t="shared" si="57"/>
        <v/>
      </c>
      <c r="AE28" s="14">
        <f t="shared" si="57"/>
        <v>2.92</v>
      </c>
      <c r="AF28" s="14" t="str">
        <f t="shared" si="57"/>
        <v/>
      </c>
      <c r="AG28" s="14" t="str">
        <f t="shared" si="57"/>
        <v/>
      </c>
      <c r="AH28" s="14" t="str">
        <f t="shared" si="52"/>
        <v/>
      </c>
      <c r="AI28" s="14">
        <f t="shared" si="53"/>
        <v>2.92</v>
      </c>
      <c r="AJ28" s="14"/>
      <c r="AK28" s="14">
        <f t="shared" si="58"/>
        <v>-0.96</v>
      </c>
    </row>
    <row r="29" ht="12.75" customHeight="1">
      <c r="B29" s="52"/>
      <c r="C29" s="54"/>
      <c r="D29" s="57"/>
      <c r="E29" s="54"/>
      <c r="F29" s="57"/>
      <c r="G29" s="57"/>
      <c r="H29" s="51"/>
      <c r="I29" s="57"/>
      <c r="J29" s="14" t="str">
        <f t="shared" ref="J29:N29" si="59">IF(C29="","", LOOKUP(C29, $D$160:$D$223, E$160:E$223))</f>
        <v/>
      </c>
      <c r="K29" s="14" t="str">
        <f t="shared" si="59"/>
        <v/>
      </c>
      <c r="L29" s="14" t="str">
        <f t="shared" si="59"/>
        <v/>
      </c>
      <c r="M29" s="14" t="str">
        <f t="shared" si="59"/>
        <v/>
      </c>
      <c r="N29" s="14" t="str">
        <f t="shared" si="59"/>
        <v/>
      </c>
      <c r="O29" s="14" t="str">
        <f t="shared" si="55"/>
        <v/>
      </c>
      <c r="P29" s="14" t="str">
        <f t="shared" si="56"/>
        <v/>
      </c>
      <c r="Q29" s="14"/>
      <c r="R29" s="14" t="str">
        <f t="shared" si="60"/>
        <v/>
      </c>
      <c r="S29" s="14"/>
      <c r="T29" s="55" t="s">
        <v>35</v>
      </c>
      <c r="U29" s="52"/>
      <c r="V29" s="51"/>
      <c r="W29" s="55"/>
      <c r="X29" s="55">
        <v>55.0</v>
      </c>
      <c r="Y29" s="55"/>
      <c r="Z29" s="58"/>
      <c r="AA29" s="52"/>
      <c r="AB29" s="58"/>
      <c r="AC29" s="14" t="str">
        <f t="shared" ref="AC29:AG29" si="61">IF(V29="","", LOOKUP(V29, $D$160:$D$223, E$160:E$223))</f>
        <v/>
      </c>
      <c r="AD29" s="14" t="str">
        <f t="shared" si="61"/>
        <v/>
      </c>
      <c r="AE29" s="14">
        <f t="shared" si="61"/>
        <v>2.88</v>
      </c>
      <c r="AF29" s="14" t="str">
        <f t="shared" si="61"/>
        <v/>
      </c>
      <c r="AG29" s="14" t="str">
        <f t="shared" si="61"/>
        <v/>
      </c>
      <c r="AH29" s="14" t="str">
        <f t="shared" si="52"/>
        <v/>
      </c>
      <c r="AI29" s="14">
        <f t="shared" si="53"/>
        <v>2.88</v>
      </c>
      <c r="AJ29" s="14"/>
      <c r="AK29" s="14">
        <f t="shared" si="58"/>
        <v>0.27</v>
      </c>
    </row>
    <row r="30" ht="12.75" customHeight="1">
      <c r="A30" s="55" t="s">
        <v>35</v>
      </c>
      <c r="B30" s="52"/>
      <c r="C30" s="51"/>
      <c r="D30" s="55"/>
      <c r="E30" s="55"/>
      <c r="F30" s="55"/>
      <c r="G30" s="58"/>
      <c r="H30" s="52"/>
      <c r="I30" s="58"/>
      <c r="J30" s="14" t="str">
        <f t="shared" ref="J30:N30" si="62">IF(C30="","", LOOKUP(C30, $D$160:$D$223, E$160:E$223))</f>
        <v/>
      </c>
      <c r="K30" s="14" t="str">
        <f t="shared" si="62"/>
        <v/>
      </c>
      <c r="L30" s="14" t="str">
        <f t="shared" si="62"/>
        <v/>
      </c>
      <c r="M30" s="14" t="str">
        <f t="shared" si="62"/>
        <v/>
      </c>
      <c r="N30" s="14" t="str">
        <f t="shared" si="62"/>
        <v/>
      </c>
      <c r="O30" s="14" t="str">
        <f t="shared" si="55"/>
        <v/>
      </c>
      <c r="P30" s="14" t="str">
        <f t="shared" si="56"/>
        <v/>
      </c>
      <c r="Q30" s="14"/>
      <c r="R30" s="14" t="str">
        <f t="shared" si="60"/>
        <v/>
      </c>
      <c r="S30" s="14"/>
      <c r="T30" s="56" t="s">
        <v>22</v>
      </c>
      <c r="U30" s="52"/>
      <c r="V30" s="51"/>
      <c r="W30" s="51"/>
      <c r="X30" s="51"/>
      <c r="Y30" s="51"/>
      <c r="Z30" s="51"/>
      <c r="AA30" s="56">
        <v>13.0</v>
      </c>
      <c r="AB30" s="59"/>
      <c r="AC30" s="14" t="str">
        <f t="shared" ref="AC30:AG30" si="63">IF(V30="","", LOOKUP(V30, $D$160:$D$223, E$160:E$223))</f>
        <v/>
      </c>
      <c r="AD30" s="14" t="str">
        <f t="shared" si="63"/>
        <v/>
      </c>
      <c r="AE30" s="14" t="str">
        <f t="shared" si="63"/>
        <v/>
      </c>
      <c r="AF30" s="14" t="str">
        <f t="shared" si="63"/>
        <v/>
      </c>
      <c r="AG30" s="14" t="str">
        <f t="shared" si="63"/>
        <v/>
      </c>
      <c r="AH30" s="14">
        <f t="shared" si="52"/>
        <v>1.61</v>
      </c>
      <c r="AI30" s="14">
        <f t="shared" si="53"/>
        <v>1.61</v>
      </c>
      <c r="AJ30" s="14"/>
      <c r="AK30" s="14">
        <f t="shared" ref="AK30:AK31" si="66">IF(AI30="", "", AI30-AB30-1-AI31)</f>
        <v>-0.39</v>
      </c>
    </row>
    <row r="31" ht="12.75" customHeight="1">
      <c r="A31" s="56" t="s">
        <v>22</v>
      </c>
      <c r="B31" s="52"/>
      <c r="C31" s="51"/>
      <c r="D31" s="51"/>
      <c r="E31" s="51"/>
      <c r="F31" s="51"/>
      <c r="G31" s="51"/>
      <c r="H31" s="56"/>
      <c r="I31" s="59"/>
      <c r="J31" s="14" t="str">
        <f t="shared" ref="J31:N31" si="64">IF(C31="","", LOOKUP(C31, $D$160:$D$223, E$160:E$223))</f>
        <v/>
      </c>
      <c r="K31" s="14" t="str">
        <f t="shared" si="64"/>
        <v/>
      </c>
      <c r="L31" s="14" t="str">
        <f t="shared" si="64"/>
        <v/>
      </c>
      <c r="M31" s="14" t="str">
        <f t="shared" si="64"/>
        <v/>
      </c>
      <c r="N31" s="14" t="str">
        <f t="shared" si="64"/>
        <v/>
      </c>
      <c r="O31" s="14" t="str">
        <f t="shared" si="55"/>
        <v/>
      </c>
      <c r="P31" s="14" t="str">
        <f t="shared" si="56"/>
        <v/>
      </c>
      <c r="Q31" s="14"/>
      <c r="R31" s="14" t="str">
        <f t="shared" ref="R31:R32" si="68">IF(P31="", "", P31-I31-1-P32)</f>
        <v/>
      </c>
      <c r="S31" s="14"/>
      <c r="T31" s="14"/>
      <c r="U31" s="52"/>
      <c r="V31" s="51"/>
      <c r="W31" s="51"/>
      <c r="X31" s="51"/>
      <c r="Y31" s="51"/>
      <c r="Z31" s="51"/>
      <c r="AA31" s="56">
        <v>1.0</v>
      </c>
      <c r="AB31" s="61"/>
      <c r="AC31" s="14" t="str">
        <f t="shared" ref="AC31:AG31" si="65">IF(V31="","", LOOKUP(V31, $D$160:$D$223, E$160:E$223))</f>
        <v/>
      </c>
      <c r="AD31" s="14" t="str">
        <f t="shared" si="65"/>
        <v/>
      </c>
      <c r="AE31" s="14" t="str">
        <f t="shared" si="65"/>
        <v/>
      </c>
      <c r="AF31" s="14" t="str">
        <f t="shared" si="65"/>
        <v/>
      </c>
      <c r="AG31" s="14" t="str">
        <f t="shared" si="65"/>
        <v/>
      </c>
      <c r="AH31" s="14">
        <f t="shared" si="52"/>
        <v>1</v>
      </c>
      <c r="AI31" s="14">
        <f t="shared" si="53"/>
        <v>1</v>
      </c>
      <c r="AJ31" s="14"/>
      <c r="AK31" s="14">
        <f t="shared" si="66"/>
        <v>0</v>
      </c>
    </row>
    <row r="32" ht="12.75" customHeight="1">
      <c r="A32" s="14"/>
      <c r="B32" s="52"/>
      <c r="C32" s="51"/>
      <c r="D32" s="51"/>
      <c r="E32" s="51"/>
      <c r="F32" s="51"/>
      <c r="G32" s="51"/>
      <c r="H32" s="56"/>
      <c r="I32" s="60"/>
      <c r="J32" s="14" t="str">
        <f t="shared" ref="J32:N32" si="67">IF(C32="","", LOOKUP(C32, $D$160:$D$223, E$160:E$223))</f>
        <v/>
      </c>
      <c r="K32" s="14" t="str">
        <f t="shared" si="67"/>
        <v/>
      </c>
      <c r="L32" s="14" t="str">
        <f t="shared" si="67"/>
        <v/>
      </c>
      <c r="M32" s="14" t="str">
        <f t="shared" si="67"/>
        <v/>
      </c>
      <c r="N32" s="14" t="str">
        <f t="shared" si="67"/>
        <v/>
      </c>
      <c r="O32" s="14" t="str">
        <f t="shared" si="55"/>
        <v/>
      </c>
      <c r="P32" s="14" t="str">
        <f t="shared" si="56"/>
        <v/>
      </c>
      <c r="Q32" s="14"/>
      <c r="R32" s="14" t="str">
        <f t="shared" si="68"/>
        <v/>
      </c>
      <c r="S32" s="14"/>
      <c r="T32" s="14"/>
      <c r="U32" s="14"/>
      <c r="V32" s="47" t="s">
        <v>12</v>
      </c>
      <c r="W32" s="47" t="s">
        <v>13</v>
      </c>
      <c r="X32" s="47" t="s">
        <v>14</v>
      </c>
      <c r="Y32" s="47" t="s">
        <v>15</v>
      </c>
      <c r="Z32" s="47" t="s">
        <v>16</v>
      </c>
      <c r="AA32" s="47" t="s">
        <v>17</v>
      </c>
      <c r="AB32" s="47" t="s">
        <v>18</v>
      </c>
      <c r="AC32" s="14"/>
      <c r="AD32" s="14"/>
      <c r="AE32" s="14"/>
      <c r="AF32" s="14"/>
      <c r="AG32" s="14"/>
      <c r="AH32" s="14"/>
      <c r="AI32" s="14"/>
      <c r="AJ32" s="14"/>
      <c r="AK32" s="14"/>
    </row>
    <row r="33" ht="12.75" customHeight="1">
      <c r="A33" s="14"/>
      <c r="B33" s="47"/>
      <c r="C33" s="47" t="s">
        <v>12</v>
      </c>
      <c r="D33" s="47" t="s">
        <v>13</v>
      </c>
      <c r="E33" s="47" t="s">
        <v>14</v>
      </c>
      <c r="F33" s="47" t="s">
        <v>15</v>
      </c>
      <c r="G33" s="47" t="s">
        <v>16</v>
      </c>
      <c r="H33" s="47" t="s">
        <v>17</v>
      </c>
      <c r="I33" s="47" t="s">
        <v>18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49" t="s">
        <v>19</v>
      </c>
      <c r="U33" s="80">
        <v>13.0</v>
      </c>
      <c r="V33" s="50">
        <v>388.0</v>
      </c>
      <c r="W33" s="51"/>
      <c r="X33" s="52"/>
      <c r="Y33" s="52"/>
      <c r="Z33" s="52"/>
      <c r="AA33" s="51"/>
      <c r="AB33" s="53"/>
      <c r="AC33" s="14">
        <f t="shared" ref="AC33:AG33" si="69">IF(V33="","", LOOKUP(V33, $D$160:$D$223, E$160:E$223))</f>
        <v>3.96</v>
      </c>
      <c r="AD33" s="14" t="str">
        <f t="shared" si="69"/>
        <v/>
      </c>
      <c r="AE33" s="14" t="str">
        <f t="shared" si="69"/>
        <v/>
      </c>
      <c r="AF33" s="14" t="str">
        <f t="shared" si="69"/>
        <v/>
      </c>
      <c r="AG33" s="14" t="str">
        <f t="shared" si="69"/>
        <v/>
      </c>
      <c r="AH33" s="14" t="str">
        <f t="shared" ref="AH33:AH38" si="72">if(AA33=1, 1, IF(AA33="", "", If(AA33&gt;$K$212, $L$212, if(AA33&gt;$K$211, $L$211, if(AA33&gt;$K$210, $L$210, if(AA33&gt;$K$209, $L$209, if(AA33&gt;$K$208, $L$208, if(AA33&gt;$K$206, $L$206, if(AA33&gt;$K$204, $L$204, if(AA33&gt;$K$202, $L$202, if(AA33&gt;$K$200, $L$200, if(AA33&gt;$K$198, $L$198, if(AA33&gt;$K$194, $L$194, if(AA33&gt;$K$190, $L$190, if(AA33&gt;$K$186, $L$186, if(AA33&gt;$K$182, $L$182, if(AA33&gt;$K$178, $L$178, $L$178)))))))))))))))))</f>
        <v/>
      </c>
      <c r="AI33" s="14">
        <f t="shared" ref="AI33:AI38" si="73">IF(SUM(AC33:AH33)=0, "", SUM(AC33:AH33))</f>
        <v>3.96</v>
      </c>
      <c r="AJ33" s="14"/>
      <c r="AK33" s="14">
        <f>IF(AI33="", "", IF(AI34="", IF(AI35="",AI33-AB33-1-AI36, AI33-AB33-1-AI35), AI33-AB33-1-AI34))</f>
        <v>0.18</v>
      </c>
    </row>
    <row r="34" ht="12.75" customHeight="1">
      <c r="A34" s="49" t="s">
        <v>19</v>
      </c>
      <c r="B34" s="80">
        <v>4.0</v>
      </c>
      <c r="C34" s="50"/>
      <c r="D34" s="51"/>
      <c r="E34" s="52"/>
      <c r="F34" s="52"/>
      <c r="G34" s="52"/>
      <c r="H34" s="51"/>
      <c r="I34" s="53"/>
      <c r="J34" s="14" t="str">
        <f t="shared" ref="J34:N34" si="70">IF(C34="","", LOOKUP(C34, $D$160:$D$223, E$160:E$223))</f>
        <v/>
      </c>
      <c r="K34" s="14" t="str">
        <f t="shared" si="70"/>
        <v/>
      </c>
      <c r="L34" s="14" t="str">
        <f t="shared" si="70"/>
        <v/>
      </c>
      <c r="M34" s="14" t="str">
        <f t="shared" si="70"/>
        <v/>
      </c>
      <c r="N34" s="14" t="str">
        <f t="shared" si="70"/>
        <v/>
      </c>
      <c r="O34" s="14" t="str">
        <f t="shared" ref="O34:O39" si="75">if(H34=1, 1, IF(H34="", "", If(H34&gt;$K$212, $L$212, if(H34&gt;$K$211, $L$211, if(H34&gt;$K$210, $L$210, if(H34&gt;$K$209, $L$209, if(H34&gt;$K$208, $L$208, if(H34&gt;$K$206, $L$206, if(H34&gt;$K$204, $L$204, if(H34&gt;$K$202, $L$202, if(H34&gt;$K$200, $L$200, if(H34&gt;$K$198, $L$198, if(H34&gt;$K$194, $L$194, if(H34&gt;$K$190, $L$190, if(H34&gt;$K$186, $L$186, if(H34&gt;$K$182, $L$182, if(H34&gt;$K$178, $L$178, $L$178)))))))))))))))))</f>
        <v/>
      </c>
      <c r="P34" s="14" t="str">
        <f t="shared" ref="P34:P39" si="76">IF(SUM(J34:O34)=0, "", SUM(J34:O34))</f>
        <v/>
      </c>
      <c r="Q34" s="14"/>
      <c r="R34" s="14" t="str">
        <f>IF(P34="", "", IF(P35="", IF(P36="",P34-I34-1-P37, P34-I34-1-P36), P34-I34-1-P35))</f>
        <v/>
      </c>
      <c r="S34" s="14"/>
      <c r="T34" s="54" t="s">
        <v>33</v>
      </c>
      <c r="U34" s="52"/>
      <c r="V34" s="51"/>
      <c r="W34" s="54"/>
      <c r="X34" s="54"/>
      <c r="Y34" s="57"/>
      <c r="Z34" s="57"/>
      <c r="AA34" s="51"/>
      <c r="AB34" s="57"/>
      <c r="AC34" s="14" t="str">
        <f t="shared" ref="AC34:AG34" si="71">IF(V34="","", LOOKUP(V34, $D$160:$D$223, E$160:E$223))</f>
        <v/>
      </c>
      <c r="AD34" s="14" t="str">
        <f t="shared" si="71"/>
        <v/>
      </c>
      <c r="AE34" s="14" t="str">
        <f t="shared" si="71"/>
        <v/>
      </c>
      <c r="AF34" s="14" t="str">
        <f t="shared" si="71"/>
        <v/>
      </c>
      <c r="AG34" s="14" t="str">
        <f t="shared" si="71"/>
        <v/>
      </c>
      <c r="AH34" s="14" t="str">
        <f t="shared" si="72"/>
        <v/>
      </c>
      <c r="AI34" s="14" t="str">
        <f t="shared" si="73"/>
        <v/>
      </c>
      <c r="AJ34" s="14"/>
      <c r="AK34" s="14" t="str">
        <f t="shared" ref="AK34:AK36" si="78">IF(AI34="", "", IF(AI35="", AI34-AB34-1-AI36, AI34-AB34-1-AI35))</f>
        <v/>
      </c>
    </row>
    <row r="35" ht="12.75" customHeight="1">
      <c r="A35" s="54" t="s">
        <v>33</v>
      </c>
      <c r="B35" s="52"/>
      <c r="C35" s="51"/>
      <c r="D35" s="57"/>
      <c r="E35" s="54"/>
      <c r="F35" s="57"/>
      <c r="G35" s="57"/>
      <c r="H35" s="51"/>
      <c r="I35" s="57"/>
      <c r="J35" s="14" t="str">
        <f t="shared" ref="J35:N35" si="74">IF(C35="","", LOOKUP(C35, $D$160:$D$223, E$160:E$223))</f>
        <v/>
      </c>
      <c r="K35" s="14" t="str">
        <f t="shared" si="74"/>
        <v/>
      </c>
      <c r="L35" s="14" t="str">
        <f t="shared" si="74"/>
        <v/>
      </c>
      <c r="M35" s="14" t="str">
        <f t="shared" si="74"/>
        <v/>
      </c>
      <c r="N35" s="14" t="str">
        <f t="shared" si="74"/>
        <v/>
      </c>
      <c r="O35" s="14" t="str">
        <f t="shared" si="75"/>
        <v/>
      </c>
      <c r="P35" s="14" t="str">
        <f t="shared" si="76"/>
        <v/>
      </c>
      <c r="Q35" s="14"/>
      <c r="R35" s="14" t="str">
        <f t="shared" ref="R35:R37" si="80">IF(P35="", "", IF(P36="", P35-I35-1-P37, P35-I35-1-P36))</f>
        <v/>
      </c>
      <c r="S35" s="14"/>
      <c r="U35" s="52"/>
      <c r="V35" s="57"/>
      <c r="W35" s="54">
        <v>92.0</v>
      </c>
      <c r="X35" s="54"/>
      <c r="Y35" s="57"/>
      <c r="Z35" s="57"/>
      <c r="AA35" s="51"/>
      <c r="AB35" s="57"/>
      <c r="AC35" s="14" t="str">
        <f t="shared" ref="AC35:AG35" si="77">IF(V35="","", LOOKUP(V35, $D$160:$D$223, E$160:E$223))</f>
        <v/>
      </c>
      <c r="AD35" s="67">
        <f t="shared" si="77"/>
        <v>2.78</v>
      </c>
      <c r="AE35" s="14" t="str">
        <f t="shared" si="77"/>
        <v/>
      </c>
      <c r="AF35" s="14" t="str">
        <f t="shared" si="77"/>
        <v/>
      </c>
      <c r="AG35" s="14" t="str">
        <f t="shared" si="77"/>
        <v/>
      </c>
      <c r="AH35" s="14" t="str">
        <f t="shared" si="72"/>
        <v/>
      </c>
      <c r="AI35" s="14">
        <f t="shared" si="73"/>
        <v>2.78</v>
      </c>
      <c r="AJ35" s="14"/>
      <c r="AK35" s="14">
        <f t="shared" si="78"/>
        <v>0.28</v>
      </c>
    </row>
    <row r="36" ht="12.75" customHeight="1">
      <c r="B36" s="52"/>
      <c r="C36" s="57"/>
      <c r="D36" s="57"/>
      <c r="E36" s="54"/>
      <c r="F36" s="57"/>
      <c r="G36" s="57"/>
      <c r="H36" s="51"/>
      <c r="I36" s="57"/>
      <c r="J36" s="14" t="str">
        <f t="shared" ref="J36:N36" si="79">IF(C36="","", LOOKUP(C36, $D$160:$D$223, E$160:E$223))</f>
        <v/>
      </c>
      <c r="K36" s="14" t="str">
        <f t="shared" si="79"/>
        <v/>
      </c>
      <c r="L36" s="14" t="str">
        <f t="shared" si="79"/>
        <v/>
      </c>
      <c r="M36" s="14" t="str">
        <f t="shared" si="79"/>
        <v/>
      </c>
      <c r="N36" s="14" t="str">
        <f t="shared" si="79"/>
        <v/>
      </c>
      <c r="O36" s="14" t="str">
        <f t="shared" si="75"/>
        <v/>
      </c>
      <c r="P36" s="14" t="str">
        <f t="shared" si="76"/>
        <v/>
      </c>
      <c r="Q36" s="14"/>
      <c r="R36" s="14" t="str">
        <f t="shared" si="80"/>
        <v/>
      </c>
      <c r="S36" s="14"/>
      <c r="T36" s="55" t="s">
        <v>35</v>
      </c>
      <c r="U36" s="52"/>
      <c r="V36" s="51"/>
      <c r="W36" s="55"/>
      <c r="X36" s="55"/>
      <c r="Y36" s="55"/>
      <c r="Z36" s="58"/>
      <c r="AA36" s="52"/>
      <c r="AB36" s="58"/>
      <c r="AC36" s="14" t="str">
        <f t="shared" ref="AC36:AG36" si="81">IF(V36="","", LOOKUP(V36, $D$160:$D$223, E$160:E$223))</f>
        <v/>
      </c>
      <c r="AD36" s="14" t="str">
        <f t="shared" si="81"/>
        <v/>
      </c>
      <c r="AE36" s="14" t="str">
        <f t="shared" si="81"/>
        <v/>
      </c>
      <c r="AF36" s="14" t="str">
        <f t="shared" si="81"/>
        <v/>
      </c>
      <c r="AG36" s="14" t="str">
        <f t="shared" si="81"/>
        <v/>
      </c>
      <c r="AH36" s="14" t="str">
        <f t="shared" si="72"/>
        <v/>
      </c>
      <c r="AI36" s="14" t="str">
        <f t="shared" si="73"/>
        <v/>
      </c>
      <c r="AJ36" s="14"/>
      <c r="AK36" s="14" t="str">
        <f t="shared" si="78"/>
        <v/>
      </c>
    </row>
    <row r="37" ht="12.75" customHeight="1">
      <c r="A37" s="55" t="s">
        <v>35</v>
      </c>
      <c r="B37" s="52"/>
      <c r="C37" s="51"/>
      <c r="D37" s="55"/>
      <c r="E37" s="55"/>
      <c r="F37" s="55"/>
      <c r="G37" s="58"/>
      <c r="H37" s="52"/>
      <c r="I37" s="58"/>
      <c r="J37" s="14" t="str">
        <f t="shared" ref="J37:N37" si="82">IF(C37="","", LOOKUP(C37, $D$160:$D$223, E$160:E$223))</f>
        <v/>
      </c>
      <c r="K37" s="14" t="str">
        <f t="shared" si="82"/>
        <v/>
      </c>
      <c r="L37" s="14" t="str">
        <f t="shared" si="82"/>
        <v/>
      </c>
      <c r="M37" s="14" t="str">
        <f t="shared" si="82"/>
        <v/>
      </c>
      <c r="N37" s="14" t="str">
        <f t="shared" si="82"/>
        <v/>
      </c>
      <c r="O37" s="14" t="str">
        <f t="shared" si="75"/>
        <v/>
      </c>
      <c r="P37" s="14" t="str">
        <f t="shared" si="76"/>
        <v/>
      </c>
      <c r="Q37" s="14"/>
      <c r="R37" s="14" t="str">
        <f t="shared" si="80"/>
        <v/>
      </c>
      <c r="S37" s="14"/>
      <c r="T37" s="56" t="s">
        <v>22</v>
      </c>
      <c r="U37" s="52"/>
      <c r="V37" s="51"/>
      <c r="W37" s="51"/>
      <c r="X37" s="51"/>
      <c r="Y37" s="51"/>
      <c r="Z37" s="51"/>
      <c r="AA37" s="56">
        <v>9.0</v>
      </c>
      <c r="AB37" s="59"/>
      <c r="AC37" s="14" t="str">
        <f t="shared" ref="AC37:AG37" si="83">IF(V37="","", LOOKUP(V37, $D$160:$D$223, E$160:E$223))</f>
        <v/>
      </c>
      <c r="AD37" s="14" t="str">
        <f t="shared" si="83"/>
        <v/>
      </c>
      <c r="AE37" s="14" t="str">
        <f t="shared" si="83"/>
        <v/>
      </c>
      <c r="AF37" s="14" t="str">
        <f t="shared" si="83"/>
        <v/>
      </c>
      <c r="AG37" s="14" t="str">
        <f t="shared" si="83"/>
        <v/>
      </c>
      <c r="AH37" s="67">
        <f t="shared" si="72"/>
        <v>1.5</v>
      </c>
      <c r="AI37" s="14">
        <f t="shared" si="73"/>
        <v>1.5</v>
      </c>
      <c r="AJ37" s="14"/>
      <c r="AK37" s="14">
        <f t="shared" ref="AK37:AK38" si="86">IF(AI37="", "", AI37-AB37-1-AI38)</f>
        <v>0.5</v>
      </c>
    </row>
    <row r="38" ht="12.75" customHeight="1">
      <c r="A38" s="56" t="s">
        <v>22</v>
      </c>
      <c r="B38" s="52"/>
      <c r="C38" s="51"/>
      <c r="D38" s="51"/>
      <c r="E38" s="51"/>
      <c r="F38" s="51"/>
      <c r="G38" s="51"/>
      <c r="H38" s="56"/>
      <c r="I38" s="56"/>
      <c r="J38" s="14" t="str">
        <f t="shared" ref="J38:N38" si="84">IF(C38="","", LOOKUP(C38, $D$160:$D$223, E$160:E$223))</f>
        <v/>
      </c>
      <c r="K38" s="14" t="str">
        <f t="shared" si="84"/>
        <v/>
      </c>
      <c r="L38" s="14" t="str">
        <f t="shared" si="84"/>
        <v/>
      </c>
      <c r="M38" s="14" t="str">
        <f t="shared" si="84"/>
        <v/>
      </c>
      <c r="N38" s="14" t="str">
        <f t="shared" si="84"/>
        <v/>
      </c>
      <c r="O38" s="14" t="str">
        <f t="shared" si="75"/>
        <v/>
      </c>
      <c r="P38" s="14" t="str">
        <f t="shared" si="76"/>
        <v/>
      </c>
      <c r="Q38" s="14"/>
      <c r="R38" s="14" t="str">
        <f t="shared" ref="R38:R39" si="88">IF(P38="", "", P38-I38-1-P39)</f>
        <v/>
      </c>
      <c r="S38" s="14"/>
      <c r="T38" s="14"/>
      <c r="U38" s="52"/>
      <c r="V38" s="51"/>
      <c r="W38" s="51"/>
      <c r="X38" s="51"/>
      <c r="Y38" s="51"/>
      <c r="Z38" s="51"/>
      <c r="AA38" s="56"/>
      <c r="AB38" s="60"/>
      <c r="AC38" s="14" t="str">
        <f t="shared" ref="AC38:AG38" si="85">IF(V38="","", LOOKUP(V38, $D$160:$D$223, E$160:E$223))</f>
        <v/>
      </c>
      <c r="AD38" s="14" t="str">
        <f t="shared" si="85"/>
        <v/>
      </c>
      <c r="AE38" s="14" t="str">
        <f t="shared" si="85"/>
        <v/>
      </c>
      <c r="AF38" s="14" t="str">
        <f t="shared" si="85"/>
        <v/>
      </c>
      <c r="AG38" s="14" t="str">
        <f t="shared" si="85"/>
        <v/>
      </c>
      <c r="AH38" s="14" t="str">
        <f t="shared" si="72"/>
        <v/>
      </c>
      <c r="AI38" s="14" t="str">
        <f t="shared" si="73"/>
        <v/>
      </c>
      <c r="AJ38" s="14"/>
      <c r="AK38" s="14" t="str">
        <f t="shared" si="86"/>
        <v/>
      </c>
    </row>
    <row r="39" ht="12.75" customHeight="1">
      <c r="A39" s="14"/>
      <c r="B39" s="52"/>
      <c r="C39" s="51"/>
      <c r="D39" s="51"/>
      <c r="E39" s="51"/>
      <c r="F39" s="51"/>
      <c r="G39" s="51"/>
      <c r="H39" s="56"/>
      <c r="I39" s="61"/>
      <c r="J39" s="14" t="str">
        <f t="shared" ref="J39:N39" si="87">IF(C39="","", LOOKUP(C39, $D$160:$D$223, E$160:E$223))</f>
        <v/>
      </c>
      <c r="K39" s="14" t="str">
        <f t="shared" si="87"/>
        <v/>
      </c>
      <c r="L39" s="14" t="str">
        <f t="shared" si="87"/>
        <v/>
      </c>
      <c r="M39" s="14" t="str">
        <f t="shared" si="87"/>
        <v/>
      </c>
      <c r="N39" s="14" t="str">
        <f t="shared" si="87"/>
        <v/>
      </c>
      <c r="O39" s="14" t="str">
        <f t="shared" si="75"/>
        <v/>
      </c>
      <c r="P39" s="14" t="str">
        <f t="shared" si="76"/>
        <v/>
      </c>
      <c r="Q39" s="14"/>
      <c r="R39" s="14" t="str">
        <f t="shared" si="88"/>
        <v/>
      </c>
      <c r="S39" s="14"/>
      <c r="T39" s="14"/>
      <c r="U39" s="14"/>
      <c r="V39" s="47" t="s">
        <v>12</v>
      </c>
      <c r="W39" s="47" t="s">
        <v>13</v>
      </c>
      <c r="X39" s="47" t="s">
        <v>14</v>
      </c>
      <c r="Y39" s="47" t="s">
        <v>15</v>
      </c>
      <c r="Z39" s="47" t="s">
        <v>16</v>
      </c>
      <c r="AA39" s="47" t="s">
        <v>17</v>
      </c>
      <c r="AB39" s="47" t="s">
        <v>18</v>
      </c>
      <c r="AC39" s="14"/>
      <c r="AD39" s="14"/>
      <c r="AE39" s="14"/>
      <c r="AF39" s="14"/>
      <c r="AG39" s="14"/>
      <c r="AH39" s="14"/>
      <c r="AI39" s="14"/>
      <c r="AJ39" s="14"/>
      <c r="AK39" s="14"/>
    </row>
    <row r="40" ht="12.75" customHeight="1">
      <c r="A40" s="14"/>
      <c r="B40" s="47"/>
      <c r="C40" s="47" t="s">
        <v>12</v>
      </c>
      <c r="D40" s="47" t="s">
        <v>13</v>
      </c>
      <c r="E40" s="47" t="s">
        <v>14</v>
      </c>
      <c r="F40" s="47" t="s">
        <v>15</v>
      </c>
      <c r="G40" s="47" t="s">
        <v>16</v>
      </c>
      <c r="H40" s="47" t="s">
        <v>17</v>
      </c>
      <c r="I40" s="47" t="s">
        <v>18</v>
      </c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49" t="s">
        <v>19</v>
      </c>
      <c r="U40" s="80">
        <v>14.0</v>
      </c>
      <c r="V40" s="50">
        <v>470.0</v>
      </c>
      <c r="W40" s="51"/>
      <c r="X40" s="52"/>
      <c r="Y40" s="52"/>
      <c r="Z40" s="52"/>
      <c r="AA40" s="51"/>
      <c r="AB40" s="53"/>
      <c r="AC40" s="14">
        <f t="shared" ref="AC40:AG40" si="89">IF(V40="","", LOOKUP(V40, $D$160:$D$223, E$160:E$223))</f>
        <v>4.17</v>
      </c>
      <c r="AD40" s="14" t="str">
        <f t="shared" si="89"/>
        <v/>
      </c>
      <c r="AE40" s="14" t="str">
        <f t="shared" si="89"/>
        <v/>
      </c>
      <c r="AF40" s="14" t="str">
        <f t="shared" si="89"/>
        <v/>
      </c>
      <c r="AG40" s="14" t="str">
        <f t="shared" si="89"/>
        <v/>
      </c>
      <c r="AH40" s="14" t="str">
        <f t="shared" ref="AH40:AH45" si="92">if(AA40=1, 1, IF(AA40="", "", If(AA40&gt;$K$212, $L$212, if(AA40&gt;$K$211, $L$211, if(AA40&gt;$K$210, $L$210, if(AA40&gt;$K$209, $L$209, if(AA40&gt;$K$208, $L$208, if(AA40&gt;$K$206, $L$206, if(AA40&gt;$K$204, $L$204, if(AA40&gt;$K$202, $L$202, if(AA40&gt;$K$200, $L$200, if(AA40&gt;$K$198, $L$198, if(AA40&gt;$K$194, $L$194, if(AA40&gt;$K$190, $L$190, if(AA40&gt;$K$186, $L$186, if(AA40&gt;$K$182, $L$182, if(AA40&gt;$K$178, $L$178, $L$178)))))))))))))))))</f>
        <v/>
      </c>
      <c r="AI40" s="14">
        <f t="shared" ref="AI40:AI45" si="93">IF(SUM(AC40:AH40)=0, "", SUM(AC40:AH40))</f>
        <v>4.17</v>
      </c>
      <c r="AJ40" s="14"/>
      <c r="AK40" s="14">
        <f>IF(AI40="", "", IF(AI41="", IF(AI42="",AI40-AB40-1-AI43, AI40-AB40-1-AI42), AI40-AB40-1-AI41))</f>
        <v>-0.23</v>
      </c>
    </row>
    <row r="41" ht="12.75" customHeight="1">
      <c r="A41" s="49" t="s">
        <v>19</v>
      </c>
      <c r="B41" s="80">
        <v>5.0</v>
      </c>
      <c r="C41" s="50"/>
      <c r="D41" s="51"/>
      <c r="E41" s="52"/>
      <c r="F41" s="52"/>
      <c r="G41" s="52"/>
      <c r="H41" s="51"/>
      <c r="I41" s="53"/>
      <c r="J41" s="14" t="str">
        <f t="shared" ref="J41:N41" si="90">IF(C41="","", LOOKUP(C41, $D$160:$D$223, E$160:E$223))</f>
        <v/>
      </c>
      <c r="K41" s="14" t="str">
        <f t="shared" si="90"/>
        <v/>
      </c>
      <c r="L41" s="14" t="str">
        <f t="shared" si="90"/>
        <v/>
      </c>
      <c r="M41" s="14" t="str">
        <f t="shared" si="90"/>
        <v/>
      </c>
      <c r="N41" s="14" t="str">
        <f t="shared" si="90"/>
        <v/>
      </c>
      <c r="O41" s="14" t="str">
        <f t="shared" ref="O41:O46" si="95">if(H41=1, 1, IF(H41="", "", If(H41&gt;$K$212, $L$212, if(H41&gt;$K$211, $L$211, if(H41&gt;$K$210, $L$210, if(H41&gt;$K$209, $L$209, if(H41&gt;$K$208, $L$208, if(H41&gt;$K$206, $L$206, if(H41&gt;$K$204, $L$204, if(H41&gt;$K$202, $L$202, if(H41&gt;$K$200, $L$200, if(H41&gt;$K$198, $L$198, if(H41&gt;$K$194, $L$194, if(H41&gt;$K$190, $L$190, if(H41&gt;$K$186, $L$186, if(H41&gt;$K$182, $L$182, if(H41&gt;$K$178, $L$178, $L$178)))))))))))))))))</f>
        <v/>
      </c>
      <c r="P41" s="14" t="str">
        <f t="shared" ref="P41:P46" si="96">IF(SUM(J41:O41)=0, "", SUM(J41:O41))</f>
        <v/>
      </c>
      <c r="Q41" s="14"/>
      <c r="R41" s="14" t="str">
        <f>IF(P41="", "", IF(P42="", IF(P43="",P41-I41-1-P44, P41-I41-1-P43), P41-I41-1-P42))</f>
        <v/>
      </c>
      <c r="S41" s="14"/>
      <c r="T41" s="54" t="s">
        <v>33</v>
      </c>
      <c r="U41" s="52"/>
      <c r="V41" s="51"/>
      <c r="W41" s="57"/>
      <c r="X41" s="54">
        <v>196.0</v>
      </c>
      <c r="Y41" s="57"/>
      <c r="Z41" s="57"/>
      <c r="AA41" s="51"/>
      <c r="AB41" s="57"/>
      <c r="AC41" s="14" t="str">
        <f t="shared" ref="AC41:AG41" si="91">IF(V41="","", LOOKUP(V41, $D$160:$D$223, E$160:E$223))</f>
        <v/>
      </c>
      <c r="AD41" s="14" t="str">
        <f t="shared" si="91"/>
        <v/>
      </c>
      <c r="AE41" s="14">
        <f t="shared" si="91"/>
        <v>3.4</v>
      </c>
      <c r="AF41" s="14" t="str">
        <f t="shared" si="91"/>
        <v/>
      </c>
      <c r="AG41" s="14" t="str">
        <f t="shared" si="91"/>
        <v/>
      </c>
      <c r="AH41" s="14" t="str">
        <f t="shared" si="92"/>
        <v/>
      </c>
      <c r="AI41" s="14">
        <f t="shared" si="93"/>
        <v>3.4</v>
      </c>
      <c r="AJ41" s="14"/>
      <c r="AK41" s="14">
        <f t="shared" ref="AK41:AK43" si="98">IF(AI41="", "", IF(AI42="", AI41-AB41-1-AI43, AI41-AB41-1-AI42))</f>
        <v>-0.29</v>
      </c>
    </row>
    <row r="42" ht="12.75" customHeight="1">
      <c r="A42" s="54" t="s">
        <v>33</v>
      </c>
      <c r="B42" s="52"/>
      <c r="C42" s="51"/>
      <c r="D42" s="57"/>
      <c r="E42" s="54"/>
      <c r="F42" s="57"/>
      <c r="G42" s="57"/>
      <c r="H42" s="51"/>
      <c r="I42" s="57"/>
      <c r="J42" s="14" t="str">
        <f t="shared" ref="J42:N42" si="94">IF(C42="","", LOOKUP(C42, $D$160:$D$223, E$160:E$223))</f>
        <v/>
      </c>
      <c r="K42" s="14" t="str">
        <f t="shared" si="94"/>
        <v/>
      </c>
      <c r="L42" s="14" t="str">
        <f t="shared" si="94"/>
        <v/>
      </c>
      <c r="M42" s="14" t="str">
        <f t="shared" si="94"/>
        <v/>
      </c>
      <c r="N42" s="14" t="str">
        <f t="shared" si="94"/>
        <v/>
      </c>
      <c r="O42" s="14" t="str">
        <f t="shared" si="95"/>
        <v/>
      </c>
      <c r="P42" s="14" t="str">
        <f t="shared" si="96"/>
        <v/>
      </c>
      <c r="Q42" s="14"/>
      <c r="R42" s="14" t="str">
        <f t="shared" ref="R42:R44" si="100">IF(P42="", "", IF(P43="", P42-I42-1-P44, P42-I42-1-P43))</f>
        <v/>
      </c>
      <c r="S42" s="14"/>
      <c r="U42" s="52"/>
      <c r="V42" s="54"/>
      <c r="W42" s="57"/>
      <c r="X42" s="54">
        <v>30.0</v>
      </c>
      <c r="Y42" s="57"/>
      <c r="Z42" s="57"/>
      <c r="AA42" s="51"/>
      <c r="AB42" s="57"/>
      <c r="AC42" s="14" t="str">
        <f t="shared" ref="AC42:AG42" si="97">IF(V42="","", LOOKUP(V42, $D$160:$D$223, E$160:E$223))</f>
        <v/>
      </c>
      <c r="AD42" s="14" t="str">
        <f t="shared" si="97"/>
        <v/>
      </c>
      <c r="AE42" s="14">
        <f t="shared" si="97"/>
        <v>2.69</v>
      </c>
      <c r="AF42" s="14" t="str">
        <f t="shared" si="97"/>
        <v/>
      </c>
      <c r="AG42" s="14" t="str">
        <f t="shared" si="97"/>
        <v/>
      </c>
      <c r="AH42" s="14" t="str">
        <f t="shared" si="92"/>
        <v/>
      </c>
      <c r="AI42" s="14">
        <f t="shared" si="93"/>
        <v>2.69</v>
      </c>
      <c r="AJ42" s="14"/>
      <c r="AK42" s="14">
        <f t="shared" si="98"/>
        <v>-0.9</v>
      </c>
    </row>
    <row r="43" ht="12.75" customHeight="1">
      <c r="B43" s="52"/>
      <c r="C43" s="57"/>
      <c r="D43" s="54"/>
      <c r="E43" s="54"/>
      <c r="F43" s="57"/>
      <c r="G43" s="57"/>
      <c r="H43" s="51"/>
      <c r="I43" s="57"/>
      <c r="J43" s="14" t="str">
        <f t="shared" ref="J43:N43" si="99">IF(C43="","", LOOKUP(C43, $D$160:$D$223, E$160:E$223))</f>
        <v/>
      </c>
      <c r="K43" s="14" t="str">
        <f t="shared" si="99"/>
        <v/>
      </c>
      <c r="L43" s="14" t="str">
        <f t="shared" si="99"/>
        <v/>
      </c>
      <c r="M43" s="14" t="str">
        <f t="shared" si="99"/>
        <v/>
      </c>
      <c r="N43" s="14" t="str">
        <f t="shared" si="99"/>
        <v/>
      </c>
      <c r="O43" s="14" t="str">
        <f t="shared" si="95"/>
        <v/>
      </c>
      <c r="P43" s="14" t="str">
        <f t="shared" si="96"/>
        <v/>
      </c>
      <c r="Q43" s="14"/>
      <c r="R43" s="14" t="str">
        <f t="shared" si="100"/>
        <v/>
      </c>
      <c r="S43" s="14"/>
      <c r="T43" s="55" t="s">
        <v>35</v>
      </c>
      <c r="U43" s="52"/>
      <c r="V43" s="51"/>
      <c r="W43" s="55"/>
      <c r="X43" s="55">
        <v>20.0</v>
      </c>
      <c r="Y43" s="55"/>
      <c r="Z43" s="58"/>
      <c r="AA43" s="52"/>
      <c r="AB43" s="58"/>
      <c r="AC43" s="14" t="str">
        <f t="shared" ref="AC43:AG43" si="101">IF(V43="","", LOOKUP(V43, $D$160:$D$223, E$160:E$223))</f>
        <v/>
      </c>
      <c r="AD43" s="14" t="str">
        <f t="shared" si="101"/>
        <v/>
      </c>
      <c r="AE43" s="14">
        <f t="shared" si="101"/>
        <v>2.59</v>
      </c>
      <c r="AF43" s="14" t="str">
        <f t="shared" si="101"/>
        <v/>
      </c>
      <c r="AG43" s="14" t="str">
        <f t="shared" si="101"/>
        <v/>
      </c>
      <c r="AH43" s="14" t="str">
        <f t="shared" si="92"/>
        <v/>
      </c>
      <c r="AI43" s="14">
        <f t="shared" si="93"/>
        <v>2.59</v>
      </c>
      <c r="AJ43" s="14"/>
      <c r="AK43" s="14">
        <f t="shared" si="98"/>
        <v>0.55</v>
      </c>
    </row>
    <row r="44" ht="12.75" customHeight="1">
      <c r="A44" s="55" t="s">
        <v>35</v>
      </c>
      <c r="B44" s="52"/>
      <c r="C44" s="51"/>
      <c r="D44" s="55"/>
      <c r="E44" s="55"/>
      <c r="F44" s="55"/>
      <c r="G44" s="58"/>
      <c r="H44" s="52"/>
      <c r="I44" s="58"/>
      <c r="J44" s="14" t="str">
        <f t="shared" ref="J44:N44" si="102">IF(C44="","", LOOKUP(C44, $D$160:$D$223, E$160:E$223))</f>
        <v/>
      </c>
      <c r="K44" s="14" t="str">
        <f t="shared" si="102"/>
        <v/>
      </c>
      <c r="L44" s="14" t="str">
        <f t="shared" si="102"/>
        <v/>
      </c>
      <c r="M44" s="14" t="str">
        <f t="shared" si="102"/>
        <v/>
      </c>
      <c r="N44" s="14" t="str">
        <f t="shared" si="102"/>
        <v/>
      </c>
      <c r="O44" s="14" t="str">
        <f t="shared" si="95"/>
        <v/>
      </c>
      <c r="P44" s="14" t="str">
        <f t="shared" si="96"/>
        <v/>
      </c>
      <c r="Q44" s="14"/>
      <c r="R44" s="14" t="str">
        <f t="shared" si="100"/>
        <v/>
      </c>
      <c r="S44" s="14"/>
      <c r="T44" s="56" t="s">
        <v>22</v>
      </c>
      <c r="U44" s="52"/>
      <c r="V44" s="51"/>
      <c r="W44" s="51"/>
      <c r="X44" s="51"/>
      <c r="Y44" s="51"/>
      <c r="Z44" s="51"/>
      <c r="AA44" s="56">
        <v>4.0</v>
      </c>
      <c r="AB44" s="59"/>
      <c r="AC44" s="14" t="str">
        <f t="shared" ref="AC44:AG44" si="103">IF(V44="","", LOOKUP(V44, $D$160:$D$223, E$160:E$223))</f>
        <v/>
      </c>
      <c r="AD44" s="14" t="str">
        <f t="shared" si="103"/>
        <v/>
      </c>
      <c r="AE44" s="14" t="str">
        <f t="shared" si="103"/>
        <v/>
      </c>
      <c r="AF44" s="14" t="str">
        <f t="shared" si="103"/>
        <v/>
      </c>
      <c r="AG44" s="14" t="str">
        <f t="shared" si="103"/>
        <v/>
      </c>
      <c r="AH44" s="14">
        <f t="shared" si="92"/>
        <v>1.04</v>
      </c>
      <c r="AI44" s="14">
        <f t="shared" si="93"/>
        <v>1.04</v>
      </c>
      <c r="AJ44" s="14"/>
      <c r="AK44" s="14">
        <f t="shared" ref="AK44:AK45" si="106">IF(AI44="", "", AI44-AB44-1-AI45)</f>
        <v>-0.96</v>
      </c>
    </row>
    <row r="45" ht="12.75" customHeight="1">
      <c r="A45" s="56" t="s">
        <v>22</v>
      </c>
      <c r="B45" s="52"/>
      <c r="C45" s="51"/>
      <c r="D45" s="51"/>
      <c r="E45" s="51"/>
      <c r="F45" s="51"/>
      <c r="G45" s="51"/>
      <c r="H45" s="56"/>
      <c r="I45" s="59"/>
      <c r="J45" s="14" t="str">
        <f t="shared" ref="J45:N45" si="104">IF(C45="","", LOOKUP(C45, $D$160:$D$223, E$160:E$223))</f>
        <v/>
      </c>
      <c r="K45" s="14" t="str">
        <f t="shared" si="104"/>
        <v/>
      </c>
      <c r="L45" s="14" t="str">
        <f t="shared" si="104"/>
        <v/>
      </c>
      <c r="M45" s="14" t="str">
        <f t="shared" si="104"/>
        <v/>
      </c>
      <c r="N45" s="14" t="str">
        <f t="shared" si="104"/>
        <v/>
      </c>
      <c r="O45" s="14" t="str">
        <f t="shared" si="95"/>
        <v/>
      </c>
      <c r="P45" s="14" t="str">
        <f t="shared" si="96"/>
        <v/>
      </c>
      <c r="Q45" s="14"/>
      <c r="R45" s="14" t="str">
        <f t="shared" ref="R45:R46" si="108">IF(P45="", "", P45-I45-1-P46)</f>
        <v/>
      </c>
      <c r="S45" s="14"/>
      <c r="T45" s="14"/>
      <c r="U45" s="52"/>
      <c r="V45" s="51"/>
      <c r="W45" s="51"/>
      <c r="X45" s="51"/>
      <c r="Y45" s="51"/>
      <c r="Z45" s="51"/>
      <c r="AA45" s="56">
        <v>1.0</v>
      </c>
      <c r="AB45" s="60"/>
      <c r="AC45" s="14" t="str">
        <f t="shared" ref="AC45:AG45" si="105">IF(V45="","", LOOKUP(V45, $D$160:$D$223, E$160:E$223))</f>
        <v/>
      </c>
      <c r="AD45" s="14" t="str">
        <f t="shared" si="105"/>
        <v/>
      </c>
      <c r="AE45" s="14" t="str">
        <f t="shared" si="105"/>
        <v/>
      </c>
      <c r="AF45" s="14" t="str">
        <f t="shared" si="105"/>
        <v/>
      </c>
      <c r="AG45" s="14" t="str">
        <f t="shared" si="105"/>
        <v/>
      </c>
      <c r="AH45" s="14">
        <f t="shared" si="92"/>
        <v>1</v>
      </c>
      <c r="AI45" s="14">
        <f t="shared" si="93"/>
        <v>1</v>
      </c>
      <c r="AJ45" s="14"/>
      <c r="AK45" s="14">
        <f t="shared" si="106"/>
        <v>0</v>
      </c>
    </row>
    <row r="46" ht="12.75" customHeight="1">
      <c r="A46" s="14"/>
      <c r="B46" s="52"/>
      <c r="C46" s="51"/>
      <c r="D46" s="51"/>
      <c r="E46" s="51"/>
      <c r="F46" s="51"/>
      <c r="G46" s="51"/>
      <c r="H46" s="56"/>
      <c r="I46" s="60"/>
      <c r="J46" s="14" t="str">
        <f t="shared" ref="J46:N46" si="107">IF(C46="","", LOOKUP(C46, $D$160:$D$223, E$160:E$223))</f>
        <v/>
      </c>
      <c r="K46" s="14" t="str">
        <f t="shared" si="107"/>
        <v/>
      </c>
      <c r="L46" s="14" t="str">
        <f t="shared" si="107"/>
        <v/>
      </c>
      <c r="M46" s="14" t="str">
        <f t="shared" si="107"/>
        <v/>
      </c>
      <c r="N46" s="14" t="str">
        <f t="shared" si="107"/>
        <v/>
      </c>
      <c r="O46" s="14" t="str">
        <f t="shared" si="95"/>
        <v/>
      </c>
      <c r="P46" s="14" t="str">
        <f t="shared" si="96"/>
        <v/>
      </c>
      <c r="Q46" s="14"/>
      <c r="R46" s="14" t="str">
        <f t="shared" si="108"/>
        <v/>
      </c>
      <c r="S46" s="14"/>
      <c r="T46" s="14"/>
      <c r="U46" s="14"/>
      <c r="V46" s="47" t="s">
        <v>12</v>
      </c>
      <c r="W46" s="47" t="s">
        <v>13</v>
      </c>
      <c r="X46" s="47" t="s">
        <v>14</v>
      </c>
      <c r="Y46" s="47" t="s">
        <v>15</v>
      </c>
      <c r="Z46" s="47" t="s">
        <v>16</v>
      </c>
      <c r="AA46" s="47" t="s">
        <v>17</v>
      </c>
      <c r="AB46" s="47" t="s">
        <v>18</v>
      </c>
      <c r="AC46" s="14"/>
      <c r="AD46" s="14"/>
      <c r="AE46" s="14"/>
      <c r="AF46" s="14"/>
      <c r="AG46" s="14"/>
      <c r="AH46" s="14"/>
      <c r="AI46" s="14"/>
      <c r="AJ46" s="14"/>
      <c r="AK46" s="14"/>
    </row>
    <row r="47" ht="12.75" customHeight="1">
      <c r="A47" s="14"/>
      <c r="B47" s="47"/>
      <c r="C47" s="47" t="s">
        <v>12</v>
      </c>
      <c r="D47" s="47" t="s">
        <v>13</v>
      </c>
      <c r="E47" s="47" t="s">
        <v>14</v>
      </c>
      <c r="F47" s="47" t="s">
        <v>15</v>
      </c>
      <c r="G47" s="47" t="s">
        <v>16</v>
      </c>
      <c r="H47" s="47" t="s">
        <v>17</v>
      </c>
      <c r="I47" s="47" t="s">
        <v>18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49" t="s">
        <v>19</v>
      </c>
      <c r="U47" s="80">
        <v>15.0</v>
      </c>
      <c r="V47" s="50"/>
      <c r="W47" s="51"/>
      <c r="X47" s="52"/>
      <c r="Y47" s="52"/>
      <c r="Z47" s="52"/>
      <c r="AA47" s="51"/>
      <c r="AB47" s="53"/>
      <c r="AC47" s="14" t="str">
        <f t="shared" ref="AC47:AG47" si="109">IF(V47="","", LOOKUP(V47, $D$160:$D$223, E$160:E$223))</f>
        <v/>
      </c>
      <c r="AD47" s="14" t="str">
        <f t="shared" si="109"/>
        <v/>
      </c>
      <c r="AE47" s="14" t="str">
        <f t="shared" si="109"/>
        <v/>
      </c>
      <c r="AF47" s="14" t="str">
        <f t="shared" si="109"/>
        <v/>
      </c>
      <c r="AG47" s="14" t="str">
        <f t="shared" si="109"/>
        <v/>
      </c>
      <c r="AH47" s="14" t="str">
        <f t="shared" ref="AH47:AH73" si="112">if(AA47=1, 1, IF(AA47="", "", If(AA47&gt;$K$212, $L$212, if(AA47&gt;$K$211, $L$211, if(AA47&gt;$K$210, $L$210, if(AA47&gt;$K$209, $L$209, if(AA47&gt;$K$208, $L$208, if(AA47&gt;$K$206, $L$206, if(AA47&gt;$K$204, $L$204, if(AA47&gt;$K$202, $L$202, if(AA47&gt;$K$200, $L$200, if(AA47&gt;$K$198, $L$198, if(AA47&gt;$K$194, $L$194, if(AA47&gt;$K$190, $L$190, if(AA47&gt;$K$186, $L$186, if(AA47&gt;$K$182, $L$182, if(AA47&gt;$K$178, $L$178, $L$178)))))))))))))))))</f>
        <v/>
      </c>
      <c r="AI47" s="14" t="str">
        <f t="shared" ref="AI47:AI73" si="113">IF(SUM(AC47:AH47)=0, "", SUM(AC47:AH47))</f>
        <v/>
      </c>
      <c r="AJ47" s="14"/>
      <c r="AK47" s="14" t="str">
        <f>IF(AI47="", "", IF(AI48="", IF(AI49="",AI47-AB47-1-AI50, AI47-AB47-1-AI49), AI47-AB47-1-AI48))</f>
        <v/>
      </c>
    </row>
    <row r="48" ht="12.75" customHeight="1">
      <c r="A48" s="49" t="s">
        <v>19</v>
      </c>
      <c r="B48" s="80">
        <v>6.0</v>
      </c>
      <c r="C48" s="50"/>
      <c r="D48" s="51"/>
      <c r="E48" s="52"/>
      <c r="F48" s="52"/>
      <c r="G48" s="52"/>
      <c r="H48" s="51"/>
      <c r="I48" s="53"/>
      <c r="J48" s="14" t="str">
        <f t="shared" ref="J48:N48" si="110">IF(C48="","", LOOKUP(C48, $D$160:$D$223, E$160:E$223))</f>
        <v/>
      </c>
      <c r="K48" s="14" t="str">
        <f t="shared" si="110"/>
        <v/>
      </c>
      <c r="L48" s="14" t="str">
        <f t="shared" si="110"/>
        <v/>
      </c>
      <c r="M48" s="14" t="str">
        <f t="shared" si="110"/>
        <v/>
      </c>
      <c r="N48" s="14" t="str">
        <f t="shared" si="110"/>
        <v/>
      </c>
      <c r="O48" s="14" t="str">
        <f t="shared" ref="O48:O53" si="115">if(H48=1, 1, IF(H48="", "", If(H48&gt;$K$212, $L$212, if(H48&gt;$K$211, $L$211, if(H48&gt;$K$210, $L$210, if(H48&gt;$K$209, $L$209, if(H48&gt;$K$208, $L$208, if(H48&gt;$K$206, $L$206, if(H48&gt;$K$204, $L$204, if(H48&gt;$K$202, $L$202, if(H48&gt;$K$200, $L$200, if(H48&gt;$K$198, $L$198, if(H48&gt;$K$194, $L$194, if(H48&gt;$K$190, $L$190, if(H48&gt;$K$186, $L$186, if(H48&gt;$K$182, $L$182, if(H48&gt;$K$178, $L$178, $L$178)))))))))))))))))</f>
        <v/>
      </c>
      <c r="P48" s="14" t="str">
        <f t="shared" ref="P48:P53" si="116">IF(SUM(J48:O48)=0, "", SUM(J48:O48))</f>
        <v/>
      </c>
      <c r="Q48" s="14"/>
      <c r="R48" s="14" t="str">
        <f>IF(P48="", "", IF(P49="", IF(P50="",P48-I48-1-P51, P48-I48-1-P50), P48-I48-1-P49))</f>
        <v/>
      </c>
      <c r="S48" s="14"/>
      <c r="T48" s="54" t="s">
        <v>33</v>
      </c>
      <c r="U48" s="52"/>
      <c r="V48" s="51"/>
      <c r="W48" s="57"/>
      <c r="X48" s="54"/>
      <c r="Y48" s="57"/>
      <c r="Z48" s="57"/>
      <c r="AA48" s="51"/>
      <c r="AB48" s="57"/>
      <c r="AC48" s="14" t="str">
        <f t="shared" ref="AC48:AG48" si="111">IF(V48="","", LOOKUP(V48, $D$160:$D$223, E$160:E$223))</f>
        <v/>
      </c>
      <c r="AD48" s="14" t="str">
        <f t="shared" si="111"/>
        <v/>
      </c>
      <c r="AE48" s="14" t="str">
        <f t="shared" si="111"/>
        <v/>
      </c>
      <c r="AF48" s="14" t="str">
        <f t="shared" si="111"/>
        <v/>
      </c>
      <c r="AG48" s="14" t="str">
        <f t="shared" si="111"/>
        <v/>
      </c>
      <c r="AH48" s="14" t="str">
        <f t="shared" si="112"/>
        <v/>
      </c>
      <c r="AI48" s="14" t="str">
        <f t="shared" si="113"/>
        <v/>
      </c>
      <c r="AJ48" s="14"/>
      <c r="AK48" s="14" t="str">
        <f t="shared" ref="AK48:AK50" si="118">IF(AI48="", "", IF(AI49="", AI48-AB48-1-AI50, AI48-AB48-1-AI49))</f>
        <v/>
      </c>
    </row>
    <row r="49" ht="12.75" customHeight="1">
      <c r="A49" s="54" t="s">
        <v>33</v>
      </c>
      <c r="B49" s="52"/>
      <c r="C49" s="51"/>
      <c r="D49" s="57"/>
      <c r="E49" s="54"/>
      <c r="F49" s="57"/>
      <c r="G49" s="57"/>
      <c r="H49" s="51"/>
      <c r="I49" s="57"/>
      <c r="J49" s="14" t="str">
        <f t="shared" ref="J49:N49" si="114">IF(C49="","", LOOKUP(C49, $D$160:$D$223, E$160:E$223))</f>
        <v/>
      </c>
      <c r="K49" s="14" t="str">
        <f t="shared" si="114"/>
        <v/>
      </c>
      <c r="L49" s="14" t="str">
        <f t="shared" si="114"/>
        <v/>
      </c>
      <c r="M49" s="14" t="str">
        <f t="shared" si="114"/>
        <v/>
      </c>
      <c r="N49" s="14" t="str">
        <f t="shared" si="114"/>
        <v/>
      </c>
      <c r="O49" s="14" t="str">
        <f t="shared" si="115"/>
        <v/>
      </c>
      <c r="P49" s="14" t="str">
        <f t="shared" si="116"/>
        <v/>
      </c>
      <c r="Q49" s="14"/>
      <c r="R49" s="14" t="str">
        <f t="shared" ref="R49:R51" si="120">IF(P49="", "", IF(P50="", P49-I49-1-P51, P49-I49-1-P50))</f>
        <v/>
      </c>
      <c r="S49" s="14"/>
      <c r="U49" s="52"/>
      <c r="V49" s="54">
        <v>157.0</v>
      </c>
      <c r="W49" s="57"/>
      <c r="X49" s="54"/>
      <c r="Y49" s="57"/>
      <c r="Z49" s="57"/>
      <c r="AA49" s="51"/>
      <c r="AB49" s="57"/>
      <c r="AC49" s="14">
        <f t="shared" ref="AC49:AG49" si="117">IF(V49="","", LOOKUP(V49, $D$160:$D$223, E$160:E$223))</f>
        <v>2.99</v>
      </c>
      <c r="AD49" s="14" t="str">
        <f t="shared" si="117"/>
        <v/>
      </c>
      <c r="AE49" s="14" t="str">
        <f t="shared" si="117"/>
        <v/>
      </c>
      <c r="AF49" s="14" t="str">
        <f t="shared" si="117"/>
        <v/>
      </c>
      <c r="AG49" s="14" t="str">
        <f t="shared" si="117"/>
        <v/>
      </c>
      <c r="AH49" s="14" t="str">
        <f t="shared" si="112"/>
        <v/>
      </c>
      <c r="AI49" s="14">
        <f t="shared" si="113"/>
        <v>2.99</v>
      </c>
      <c r="AJ49" s="14"/>
      <c r="AK49" s="14">
        <f t="shared" si="118"/>
        <v>-0.07</v>
      </c>
    </row>
    <row r="50" ht="12.75" customHeight="1">
      <c r="B50" s="52"/>
      <c r="C50" s="57"/>
      <c r="D50" s="57"/>
      <c r="E50" s="54"/>
      <c r="F50" s="57"/>
      <c r="G50" s="57"/>
      <c r="H50" s="51"/>
      <c r="I50" s="57"/>
      <c r="J50" s="14" t="str">
        <f t="shared" ref="J50:N50" si="119">IF(C50="","", LOOKUP(C50, $D$160:$D$223, E$160:E$223))</f>
        <v/>
      </c>
      <c r="K50" s="14" t="str">
        <f t="shared" si="119"/>
        <v/>
      </c>
      <c r="L50" s="14" t="str">
        <f t="shared" si="119"/>
        <v/>
      </c>
      <c r="M50" s="14" t="str">
        <f t="shared" si="119"/>
        <v/>
      </c>
      <c r="N50" s="14" t="str">
        <f t="shared" si="119"/>
        <v/>
      </c>
      <c r="O50" s="14" t="str">
        <f t="shared" si="115"/>
        <v/>
      </c>
      <c r="P50" s="14" t="str">
        <f t="shared" si="116"/>
        <v/>
      </c>
      <c r="Q50" s="14"/>
      <c r="R50" s="14" t="str">
        <f t="shared" si="120"/>
        <v/>
      </c>
      <c r="S50" s="14"/>
      <c r="T50" s="55" t="s">
        <v>35</v>
      </c>
      <c r="U50" s="52"/>
      <c r="V50" s="51"/>
      <c r="W50" s="55"/>
      <c r="X50" s="55"/>
      <c r="Y50" s="55"/>
      <c r="Z50" s="58"/>
      <c r="AA50" s="52"/>
      <c r="AB50" s="58"/>
      <c r="AC50" s="14" t="str">
        <f t="shared" ref="AC50:AG50" si="121">IF(V50="","", LOOKUP(V50, $D$160:$D$223, E$160:E$223))</f>
        <v/>
      </c>
      <c r="AD50" s="14" t="str">
        <f t="shared" si="121"/>
        <v/>
      </c>
      <c r="AE50" s="14" t="str">
        <f t="shared" si="121"/>
        <v/>
      </c>
      <c r="AF50" s="14" t="str">
        <f t="shared" si="121"/>
        <v/>
      </c>
      <c r="AG50" s="14" t="str">
        <f t="shared" si="121"/>
        <v/>
      </c>
      <c r="AH50" s="14" t="str">
        <f t="shared" si="112"/>
        <v/>
      </c>
      <c r="AI50" s="14" t="str">
        <f t="shared" si="113"/>
        <v/>
      </c>
      <c r="AJ50" s="14"/>
      <c r="AK50" s="14" t="str">
        <f t="shared" si="118"/>
        <v/>
      </c>
    </row>
    <row r="51" ht="12.75" customHeight="1">
      <c r="A51" s="55" t="s">
        <v>35</v>
      </c>
      <c r="B51" s="52"/>
      <c r="C51" s="51"/>
      <c r="D51" s="55"/>
      <c r="E51" s="55"/>
      <c r="F51" s="55"/>
      <c r="G51" s="58"/>
      <c r="H51" s="52"/>
      <c r="I51" s="58"/>
      <c r="J51" s="14" t="str">
        <f t="shared" ref="J51:N51" si="122">IF(C51="","", LOOKUP(C51, $D$160:$D$223, E$160:E$223))</f>
        <v/>
      </c>
      <c r="K51" s="14" t="str">
        <f t="shared" si="122"/>
        <v/>
      </c>
      <c r="L51" s="14" t="str">
        <f t="shared" si="122"/>
        <v/>
      </c>
      <c r="M51" s="14" t="str">
        <f t="shared" si="122"/>
        <v/>
      </c>
      <c r="N51" s="14" t="str">
        <f t="shared" si="122"/>
        <v/>
      </c>
      <c r="O51" s="14" t="str">
        <f t="shared" si="115"/>
        <v/>
      </c>
      <c r="P51" s="14" t="str">
        <f t="shared" si="116"/>
        <v/>
      </c>
      <c r="Q51" s="14"/>
      <c r="R51" s="14" t="str">
        <f t="shared" si="120"/>
        <v/>
      </c>
      <c r="S51" s="14"/>
      <c r="T51" s="56" t="s">
        <v>22</v>
      </c>
      <c r="U51" s="52"/>
      <c r="V51" s="51"/>
      <c r="W51" s="51"/>
      <c r="X51" s="51"/>
      <c r="Y51" s="51"/>
      <c r="Z51" s="51"/>
      <c r="AA51" s="56">
        <v>41.0</v>
      </c>
      <c r="AB51" s="59"/>
      <c r="AC51" s="14" t="str">
        <f t="shared" ref="AC51:AG51" si="123">IF(V51="","", LOOKUP(V51, $D$160:$D$223, E$160:E$223))</f>
        <v/>
      </c>
      <c r="AD51" s="14" t="str">
        <f t="shared" si="123"/>
        <v/>
      </c>
      <c r="AE51" s="14" t="str">
        <f t="shared" si="123"/>
        <v/>
      </c>
      <c r="AF51" s="14" t="str">
        <f t="shared" si="123"/>
        <v/>
      </c>
      <c r="AG51" s="14" t="str">
        <f t="shared" si="123"/>
        <v/>
      </c>
      <c r="AH51" s="14">
        <f t="shared" si="112"/>
        <v>2.06</v>
      </c>
      <c r="AI51" s="14">
        <f t="shared" si="113"/>
        <v>2.06</v>
      </c>
      <c r="AJ51" s="14"/>
      <c r="AK51" s="14">
        <f t="shared" ref="AK51:AK53" si="126">IF(AI51="", "", AI51-AB51-1-AI52)</f>
        <v>-0.81</v>
      </c>
    </row>
    <row r="52" ht="12.75" customHeight="1">
      <c r="A52" s="56" t="s">
        <v>22</v>
      </c>
      <c r="B52" s="52"/>
      <c r="C52" s="51"/>
      <c r="D52" s="51"/>
      <c r="E52" s="51"/>
      <c r="F52" s="51"/>
      <c r="G52" s="51"/>
      <c r="H52" s="56"/>
      <c r="I52" s="59"/>
      <c r="J52" s="14" t="str">
        <f t="shared" ref="J52:N52" si="124">IF(C52="","", LOOKUP(C52, $D$160:$D$223, E$160:E$223))</f>
        <v/>
      </c>
      <c r="K52" s="14" t="str">
        <f t="shared" si="124"/>
        <v/>
      </c>
      <c r="L52" s="14" t="str">
        <f t="shared" si="124"/>
        <v/>
      </c>
      <c r="M52" s="14" t="str">
        <f t="shared" si="124"/>
        <v/>
      </c>
      <c r="N52" s="14" t="str">
        <f t="shared" si="124"/>
        <v/>
      </c>
      <c r="O52" s="14" t="str">
        <f t="shared" si="115"/>
        <v/>
      </c>
      <c r="P52" s="14" t="str">
        <f t="shared" si="116"/>
        <v/>
      </c>
      <c r="Q52" s="14"/>
      <c r="R52" s="14" t="str">
        <f t="shared" ref="R52:R53" si="128">IF(P52="", "", P52-I52-1-P53)</f>
        <v/>
      </c>
      <c r="S52" s="14"/>
      <c r="T52" s="14"/>
      <c r="U52" s="52"/>
      <c r="V52" s="51"/>
      <c r="W52" s="51"/>
      <c r="X52" s="51"/>
      <c r="Y52" s="51"/>
      <c r="Z52" s="51"/>
      <c r="AA52" s="56">
        <v>21.0</v>
      </c>
      <c r="AB52" s="61">
        <v>1.0</v>
      </c>
      <c r="AC52" s="14" t="str">
        <f t="shared" ref="AC52:AG52" si="125">IF(V52="","", LOOKUP(V52, $D$160:$D$223, E$160:E$223))</f>
        <v/>
      </c>
      <c r="AD52" s="14" t="str">
        <f t="shared" si="125"/>
        <v/>
      </c>
      <c r="AE52" s="14" t="str">
        <f t="shared" si="125"/>
        <v/>
      </c>
      <c r="AF52" s="14" t="str">
        <f t="shared" si="125"/>
        <v/>
      </c>
      <c r="AG52" s="14" t="str">
        <f t="shared" si="125"/>
        <v/>
      </c>
      <c r="AH52" s="14">
        <f t="shared" si="112"/>
        <v>1.87</v>
      </c>
      <c r="AI52" s="14">
        <f t="shared" si="113"/>
        <v>1.87</v>
      </c>
      <c r="AJ52" s="14"/>
      <c r="AK52" s="14">
        <f t="shared" si="126"/>
        <v>-0.13</v>
      </c>
    </row>
    <row r="53" ht="12.75" customHeight="1">
      <c r="A53" s="14"/>
      <c r="B53" s="52"/>
      <c r="C53" s="51"/>
      <c r="D53" s="51"/>
      <c r="E53" s="51"/>
      <c r="F53" s="51"/>
      <c r="G53" s="51"/>
      <c r="H53" s="56"/>
      <c r="I53" s="61"/>
      <c r="J53" s="14" t="str">
        <f t="shared" ref="J53:N53" si="127">IF(C53="","", LOOKUP(C53, $D$160:$D$223, E$160:E$223))</f>
        <v/>
      </c>
      <c r="K53" s="14" t="str">
        <f t="shared" si="127"/>
        <v/>
      </c>
      <c r="L53" s="14" t="str">
        <f t="shared" si="127"/>
        <v/>
      </c>
      <c r="M53" s="14" t="str">
        <f t="shared" si="127"/>
        <v/>
      </c>
      <c r="N53" s="14" t="str">
        <f t="shared" si="127"/>
        <v/>
      </c>
      <c r="O53" s="14" t="str">
        <f t="shared" si="115"/>
        <v/>
      </c>
      <c r="P53" s="14" t="str">
        <f t="shared" si="116"/>
        <v/>
      </c>
      <c r="Q53" s="14"/>
      <c r="R53" s="14" t="str">
        <f t="shared" si="128"/>
        <v/>
      </c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 t="str">
        <f t="shared" ref="AC53:AG53" si="129">IF(V53="","", LOOKUP(V53, $D$160:$D$223, E$160:E$223))</f>
        <v/>
      </c>
      <c r="AD53" s="14" t="str">
        <f t="shared" si="129"/>
        <v/>
      </c>
      <c r="AE53" s="14" t="str">
        <f t="shared" si="129"/>
        <v/>
      </c>
      <c r="AF53" s="14" t="str">
        <f t="shared" si="129"/>
        <v/>
      </c>
      <c r="AG53" s="14" t="str">
        <f t="shared" si="129"/>
        <v/>
      </c>
      <c r="AH53" s="14" t="str">
        <f t="shared" si="112"/>
        <v/>
      </c>
      <c r="AI53" s="14" t="str">
        <f t="shared" si="113"/>
        <v/>
      </c>
      <c r="AJ53" s="14"/>
      <c r="AK53" s="14" t="str">
        <f t="shared" si="126"/>
        <v/>
      </c>
    </row>
    <row r="54" ht="12.75" customHeight="1">
      <c r="A54" s="14"/>
      <c r="B54" s="14"/>
      <c r="C54" s="47" t="s">
        <v>12</v>
      </c>
      <c r="D54" s="47" t="s">
        <v>13</v>
      </c>
      <c r="E54" s="47" t="s">
        <v>14</v>
      </c>
      <c r="F54" s="47" t="s">
        <v>15</v>
      </c>
      <c r="G54" s="47" t="s">
        <v>16</v>
      </c>
      <c r="H54" s="47" t="s">
        <v>17</v>
      </c>
      <c r="I54" s="47" t="s">
        <v>18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49" t="s">
        <v>19</v>
      </c>
      <c r="U54" s="80">
        <v>16.0</v>
      </c>
      <c r="V54" s="50">
        <v>468.0</v>
      </c>
      <c r="W54" s="51"/>
      <c r="X54" s="52"/>
      <c r="Y54" s="52"/>
      <c r="Z54" s="52"/>
      <c r="AA54" s="51"/>
      <c r="AB54" s="49"/>
      <c r="AC54" s="14">
        <f t="shared" ref="AC54:AG54" si="130">IF(V54="","", LOOKUP(V54, $D$160:$D$223, E$160:E$223))</f>
        <v>4.17</v>
      </c>
      <c r="AD54" s="14" t="str">
        <f t="shared" si="130"/>
        <v/>
      </c>
      <c r="AE54" s="14" t="str">
        <f t="shared" si="130"/>
        <v/>
      </c>
      <c r="AF54" s="14" t="str">
        <f t="shared" si="130"/>
        <v/>
      </c>
      <c r="AG54" s="14" t="str">
        <f t="shared" si="130"/>
        <v/>
      </c>
      <c r="AH54" s="14" t="str">
        <f t="shared" si="112"/>
        <v/>
      </c>
      <c r="AI54" s="14">
        <f t="shared" si="113"/>
        <v>4.17</v>
      </c>
      <c r="AJ54" s="14"/>
      <c r="AK54" s="14">
        <f>IF(AI54="", "", IF(AI55="", IF(AI56="",AI54-AB54-1-AI57, AI54-AB54-1-AI56), AI54-AB54-1-AI55))</f>
        <v>-0.52</v>
      </c>
    </row>
    <row r="55" ht="12.75" customHeight="1">
      <c r="A55" s="49" t="s">
        <v>19</v>
      </c>
      <c r="B55" s="80">
        <v>7.0</v>
      </c>
      <c r="C55" s="50"/>
      <c r="D55" s="51"/>
      <c r="E55" s="52"/>
      <c r="F55" s="52"/>
      <c r="G55" s="52"/>
      <c r="H55" s="51"/>
      <c r="I55" s="49"/>
      <c r="J55" s="14" t="str">
        <f t="shared" ref="J55:N55" si="131">IF(C55="","", LOOKUP(C55, $D$160:$D$223, E$160:E$223))</f>
        <v/>
      </c>
      <c r="K55" s="14" t="str">
        <f t="shared" si="131"/>
        <v/>
      </c>
      <c r="L55" s="14" t="str">
        <f t="shared" si="131"/>
        <v/>
      </c>
      <c r="M55" s="14" t="str">
        <f t="shared" si="131"/>
        <v/>
      </c>
      <c r="N55" s="14" t="str">
        <f t="shared" si="131"/>
        <v/>
      </c>
      <c r="O55" s="14" t="str">
        <f t="shared" ref="O55:O60" si="134">if(H55=1, 1, IF(H55="", "", If(H55&gt;$K$212, $L$212, if(H55&gt;$K$211, $L$211, if(H55&gt;$K$210, $L$210, if(H55&gt;$K$209, $L$209, if(H55&gt;$K$208, $L$208, if(H55&gt;$K$206, $L$206, if(H55&gt;$K$204, $L$204, if(H55&gt;$K$202, $L$202, if(H55&gt;$K$200, $L$200, if(H55&gt;$K$198, $L$198, if(H55&gt;$K$194, $L$194, if(H55&gt;$K$190, $L$190, if(H55&gt;$K$186, $L$186, if(H55&gt;$K$182, $L$182, if(H55&gt;$K$178, $L$178, $L$178)))))))))))))))))</f>
        <v/>
      </c>
      <c r="P55" s="14" t="str">
        <f t="shared" ref="P55:P60" si="135">IF(SUM(J55:O55)=0, "", SUM(J55:O55))</f>
        <v/>
      </c>
      <c r="Q55" s="14"/>
      <c r="R55" s="14" t="str">
        <f>IF(P55="", "", IF(P56="", IF(P57="",P55-I55-1-P58, P55-I55-1-P57), P55-I55-1-P56))</f>
        <v/>
      </c>
      <c r="S55" s="14"/>
      <c r="T55" s="54" t="s">
        <v>33</v>
      </c>
      <c r="U55" s="52"/>
      <c r="V55" s="51"/>
      <c r="W55" s="57"/>
      <c r="X55" s="54">
        <v>253.0</v>
      </c>
      <c r="Y55" s="57"/>
      <c r="Z55" s="57"/>
      <c r="AA55" s="51"/>
      <c r="AB55" s="54">
        <v>2.0</v>
      </c>
      <c r="AC55" s="14" t="str">
        <f t="shared" ref="AC55:AG55" si="132">IF(V55="","", LOOKUP(V55, $D$160:$D$223, E$160:E$223))</f>
        <v/>
      </c>
      <c r="AD55" s="14" t="str">
        <f t="shared" si="132"/>
        <v/>
      </c>
      <c r="AE55" s="14">
        <f t="shared" si="132"/>
        <v>3.69</v>
      </c>
      <c r="AF55" s="14" t="str">
        <f t="shared" si="132"/>
        <v/>
      </c>
      <c r="AG55" s="14" t="str">
        <f t="shared" si="132"/>
        <v/>
      </c>
      <c r="AH55" s="14" t="str">
        <f t="shared" si="112"/>
        <v/>
      </c>
      <c r="AI55" s="14">
        <f t="shared" si="113"/>
        <v>3.69</v>
      </c>
      <c r="AJ55" s="14"/>
      <c r="AK55" s="14">
        <f t="shared" ref="AK55:AK57" si="137">IF(AI55="", "", IF(AI56="", AI55-AB55-1-AI57, AI55-AB55-1-AI56))</f>
        <v>-2.29</v>
      </c>
    </row>
    <row r="56" ht="12.75" customHeight="1">
      <c r="A56" s="54" t="s">
        <v>33</v>
      </c>
      <c r="B56" s="52"/>
      <c r="C56" s="51"/>
      <c r="D56" s="57"/>
      <c r="E56" s="54"/>
      <c r="F56" s="57"/>
      <c r="G56" s="57"/>
      <c r="H56" s="51"/>
      <c r="I56" s="57"/>
      <c r="J56" s="14" t="str">
        <f t="shared" ref="J56:N56" si="133">IF(C56="","", LOOKUP(C56, $D$160:$D$223, E$160:E$223))</f>
        <v/>
      </c>
      <c r="K56" s="14" t="str">
        <f t="shared" si="133"/>
        <v/>
      </c>
      <c r="L56" s="14" t="str">
        <f t="shared" si="133"/>
        <v/>
      </c>
      <c r="M56" s="14" t="str">
        <f t="shared" si="133"/>
        <v/>
      </c>
      <c r="N56" s="14" t="str">
        <f t="shared" si="133"/>
        <v/>
      </c>
      <c r="O56" s="14" t="str">
        <f t="shared" si="134"/>
        <v/>
      </c>
      <c r="P56" s="14" t="str">
        <f t="shared" si="135"/>
        <v/>
      </c>
      <c r="Q56" s="14"/>
      <c r="R56" s="14" t="str">
        <f t="shared" ref="R56:R58" si="139">IF(P56="", "", IF(P57="", P56-I56-1-P58, P56-I56-1-P57))</f>
        <v/>
      </c>
      <c r="S56" s="14"/>
      <c r="U56" s="52"/>
      <c r="V56" s="57"/>
      <c r="W56" s="54">
        <v>161.0</v>
      </c>
      <c r="X56" s="54"/>
      <c r="Y56" s="57"/>
      <c r="Z56" s="57"/>
      <c r="AA56" s="51"/>
      <c r="AB56" s="57"/>
      <c r="AC56" s="14" t="str">
        <f t="shared" ref="AC56:AG56" si="136">IF(V56="","", LOOKUP(V56, $D$160:$D$223, E$160:E$223))</f>
        <v/>
      </c>
      <c r="AD56" s="14">
        <f t="shared" si="136"/>
        <v>2.98</v>
      </c>
      <c r="AE56" s="14" t="str">
        <f t="shared" si="136"/>
        <v/>
      </c>
      <c r="AF56" s="14" t="str">
        <f t="shared" si="136"/>
        <v/>
      </c>
      <c r="AG56" s="14" t="str">
        <f t="shared" si="136"/>
        <v/>
      </c>
      <c r="AH56" s="14" t="str">
        <f t="shared" si="112"/>
        <v/>
      </c>
      <c r="AI56" s="14">
        <f t="shared" si="113"/>
        <v>2.98</v>
      </c>
      <c r="AJ56" s="14"/>
      <c r="AK56" s="14">
        <f t="shared" si="137"/>
        <v>-0.52</v>
      </c>
    </row>
    <row r="57" ht="12.75" customHeight="1">
      <c r="B57" s="52"/>
      <c r="C57" s="57"/>
      <c r="D57" s="57"/>
      <c r="E57" s="54"/>
      <c r="F57" s="57"/>
      <c r="G57" s="54"/>
      <c r="H57" s="51"/>
      <c r="I57" s="57"/>
      <c r="J57" s="14" t="str">
        <f t="shared" ref="J57:N57" si="138">IF(C57="","", LOOKUP(C57, $D$160:$D$223, E$160:E$223))</f>
        <v/>
      </c>
      <c r="K57" s="14" t="str">
        <f t="shared" si="138"/>
        <v/>
      </c>
      <c r="L57" s="14" t="str">
        <f t="shared" si="138"/>
        <v/>
      </c>
      <c r="M57" s="14" t="str">
        <f t="shared" si="138"/>
        <v/>
      </c>
      <c r="N57" s="14" t="str">
        <f t="shared" si="138"/>
        <v/>
      </c>
      <c r="O57" s="14" t="str">
        <f t="shared" si="134"/>
        <v/>
      </c>
      <c r="P57" s="14" t="str">
        <f t="shared" si="135"/>
        <v/>
      </c>
      <c r="Q57" s="14"/>
      <c r="R57" s="14" t="str">
        <f t="shared" si="139"/>
        <v/>
      </c>
      <c r="S57" s="14"/>
      <c r="T57" s="55" t="s">
        <v>35</v>
      </c>
      <c r="U57" s="52"/>
      <c r="V57" s="51"/>
      <c r="W57" s="55">
        <v>30.0</v>
      </c>
      <c r="X57" s="55"/>
      <c r="Y57" s="55"/>
      <c r="Z57" s="58"/>
      <c r="AA57" s="52"/>
      <c r="AB57" s="58"/>
      <c r="AC57" s="14" t="str">
        <f t="shared" ref="AC57:AG57" si="140">IF(V57="","", LOOKUP(V57, $D$160:$D$223, E$160:E$223))</f>
        <v/>
      </c>
      <c r="AD57" s="67">
        <f t="shared" si="140"/>
        <v>2.5</v>
      </c>
      <c r="AE57" s="14" t="str">
        <f t="shared" si="140"/>
        <v/>
      </c>
      <c r="AF57" s="14" t="str">
        <f t="shared" si="140"/>
        <v/>
      </c>
      <c r="AG57" s="14" t="str">
        <f t="shared" si="140"/>
        <v/>
      </c>
      <c r="AH57" s="14" t="str">
        <f t="shared" si="112"/>
        <v/>
      </c>
      <c r="AI57" s="14">
        <f t="shared" si="113"/>
        <v>2.5</v>
      </c>
      <c r="AJ57" s="14"/>
      <c r="AK57" s="14">
        <f t="shared" si="137"/>
        <v>0</v>
      </c>
    </row>
    <row r="58" ht="12.75" customHeight="1">
      <c r="A58" s="55" t="s">
        <v>35</v>
      </c>
      <c r="B58" s="52"/>
      <c r="C58" s="51"/>
      <c r="D58" s="55"/>
      <c r="E58" s="55"/>
      <c r="F58" s="55"/>
      <c r="G58" s="58"/>
      <c r="H58" s="52"/>
      <c r="I58" s="58"/>
      <c r="J58" s="14" t="str">
        <f t="shared" ref="J58:N58" si="141">IF(C58="","", LOOKUP(C58, $D$160:$D$223, E$160:E$223))</f>
        <v/>
      </c>
      <c r="K58" s="14" t="str">
        <f t="shared" si="141"/>
        <v/>
      </c>
      <c r="L58" s="14" t="str">
        <f t="shared" si="141"/>
        <v/>
      </c>
      <c r="M58" s="14" t="str">
        <f t="shared" si="141"/>
        <v/>
      </c>
      <c r="N58" s="14" t="str">
        <f t="shared" si="141"/>
        <v/>
      </c>
      <c r="O58" s="14" t="str">
        <f t="shared" si="134"/>
        <v/>
      </c>
      <c r="P58" s="14" t="str">
        <f t="shared" si="135"/>
        <v/>
      </c>
      <c r="Q58" s="14"/>
      <c r="R58" s="14" t="str">
        <f t="shared" si="139"/>
        <v/>
      </c>
      <c r="S58" s="14"/>
      <c r="T58" s="56" t="s">
        <v>22</v>
      </c>
      <c r="U58" s="52"/>
      <c r="V58" s="51"/>
      <c r="W58" s="51"/>
      <c r="X58" s="51"/>
      <c r="Y58" s="51"/>
      <c r="Z58" s="51"/>
      <c r="AA58" s="56">
        <v>9.0</v>
      </c>
      <c r="AB58" s="59"/>
      <c r="AC58" s="14" t="str">
        <f t="shared" ref="AC58:AG58" si="142">IF(V58="","", LOOKUP(V58, $D$160:$D$223, E$160:E$223))</f>
        <v/>
      </c>
      <c r="AD58" s="14" t="str">
        <f t="shared" si="142"/>
        <v/>
      </c>
      <c r="AE58" s="14" t="str">
        <f t="shared" si="142"/>
        <v/>
      </c>
      <c r="AF58" s="14" t="str">
        <f t="shared" si="142"/>
        <v/>
      </c>
      <c r="AG58" s="14" t="str">
        <f t="shared" si="142"/>
        <v/>
      </c>
      <c r="AH58" s="67">
        <f t="shared" si="112"/>
        <v>1.5</v>
      </c>
      <c r="AI58" s="14">
        <f t="shared" si="113"/>
        <v>1.5</v>
      </c>
      <c r="AJ58" s="14"/>
      <c r="AK58" s="14">
        <f t="shared" ref="AK58:AK60" si="145">IF(AI58="", "", AI58-AB58-1-AI59)</f>
        <v>-0.54</v>
      </c>
    </row>
    <row r="59" ht="12.75" customHeight="1">
      <c r="A59" s="56" t="s">
        <v>22</v>
      </c>
      <c r="B59" s="52"/>
      <c r="C59" s="51"/>
      <c r="D59" s="51"/>
      <c r="E59" s="51"/>
      <c r="F59" s="51"/>
      <c r="G59" s="51"/>
      <c r="H59" s="56"/>
      <c r="I59" s="59"/>
      <c r="J59" s="14" t="str">
        <f t="shared" ref="J59:N59" si="143">IF(C59="","", LOOKUP(C59, $D$160:$D$223, E$160:E$223))</f>
        <v/>
      </c>
      <c r="K59" s="14" t="str">
        <f t="shared" si="143"/>
        <v/>
      </c>
      <c r="L59" s="14" t="str">
        <f t="shared" si="143"/>
        <v/>
      </c>
      <c r="M59" s="14" t="str">
        <f t="shared" si="143"/>
        <v/>
      </c>
      <c r="N59" s="14" t="str">
        <f t="shared" si="143"/>
        <v/>
      </c>
      <c r="O59" s="14" t="str">
        <f t="shared" si="134"/>
        <v/>
      </c>
      <c r="P59" s="14" t="str">
        <f t="shared" si="135"/>
        <v/>
      </c>
      <c r="Q59" s="14"/>
      <c r="R59" s="14" t="str">
        <f t="shared" ref="R59:R60" si="147">IF(P59="", "", P59-I59-1-P60)</f>
        <v/>
      </c>
      <c r="S59" s="14"/>
      <c r="T59" s="14"/>
      <c r="U59" s="52"/>
      <c r="V59" s="51"/>
      <c r="W59" s="51"/>
      <c r="X59" s="51"/>
      <c r="Y59" s="51"/>
      <c r="Z59" s="51"/>
      <c r="AA59" s="56">
        <v>3.0</v>
      </c>
      <c r="AB59" s="61">
        <v>1.0</v>
      </c>
      <c r="AC59" s="14" t="str">
        <f t="shared" ref="AC59:AG59" si="144">IF(V59="","", LOOKUP(V59, $D$160:$D$223, E$160:E$223))</f>
        <v/>
      </c>
      <c r="AD59" s="14" t="str">
        <f t="shared" si="144"/>
        <v/>
      </c>
      <c r="AE59" s="14" t="str">
        <f t="shared" si="144"/>
        <v/>
      </c>
      <c r="AF59" s="14" t="str">
        <f t="shared" si="144"/>
        <v/>
      </c>
      <c r="AG59" s="14" t="str">
        <f t="shared" si="144"/>
        <v/>
      </c>
      <c r="AH59" s="14">
        <f t="shared" si="112"/>
        <v>1.04</v>
      </c>
      <c r="AI59" s="14">
        <f t="shared" si="113"/>
        <v>1.04</v>
      </c>
      <c r="AJ59" s="14"/>
      <c r="AK59" s="14">
        <f t="shared" si="145"/>
        <v>-0.96</v>
      </c>
    </row>
    <row r="60" ht="12.75" customHeight="1">
      <c r="A60" s="14"/>
      <c r="B60" s="52"/>
      <c r="C60" s="51"/>
      <c r="D60" s="51"/>
      <c r="E60" s="51"/>
      <c r="F60" s="51"/>
      <c r="G60" s="51"/>
      <c r="H60" s="56"/>
      <c r="I60" s="60"/>
      <c r="J60" s="14" t="str">
        <f t="shared" ref="J60:N60" si="146">IF(C60="","", LOOKUP(C60, $D$160:$D$223, E$160:E$223))</f>
        <v/>
      </c>
      <c r="K60" s="14" t="str">
        <f t="shared" si="146"/>
        <v/>
      </c>
      <c r="L60" s="14" t="str">
        <f t="shared" si="146"/>
        <v/>
      </c>
      <c r="M60" s="14" t="str">
        <f t="shared" si="146"/>
        <v/>
      </c>
      <c r="N60" s="14" t="str">
        <f t="shared" si="146"/>
        <v/>
      </c>
      <c r="O60" s="14" t="str">
        <f t="shared" si="134"/>
        <v/>
      </c>
      <c r="P60" s="14" t="str">
        <f t="shared" si="135"/>
        <v/>
      </c>
      <c r="Q60" s="14"/>
      <c r="R60" s="14" t="str">
        <f t="shared" si="147"/>
        <v/>
      </c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 t="str">
        <f t="shared" ref="AC60:AG60" si="148">IF(V60="","", LOOKUP(V60, $D$160:$D$223, E$160:E$223))</f>
        <v/>
      </c>
      <c r="AD60" s="14" t="str">
        <f t="shared" si="148"/>
        <v/>
      </c>
      <c r="AE60" s="14" t="str">
        <f t="shared" si="148"/>
        <v/>
      </c>
      <c r="AF60" s="14" t="str">
        <f t="shared" si="148"/>
        <v/>
      </c>
      <c r="AG60" s="14" t="str">
        <f t="shared" si="148"/>
        <v/>
      </c>
      <c r="AH60" s="14" t="str">
        <f t="shared" si="112"/>
        <v/>
      </c>
      <c r="AI60" s="14" t="str">
        <f t="shared" si="113"/>
        <v/>
      </c>
      <c r="AJ60" s="14"/>
      <c r="AK60" s="14" t="str">
        <f t="shared" si="145"/>
        <v/>
      </c>
    </row>
    <row r="61" ht="12.75" customHeight="1">
      <c r="A61" s="14"/>
      <c r="B61" s="47"/>
      <c r="C61" s="47" t="s">
        <v>12</v>
      </c>
      <c r="D61" s="47" t="s">
        <v>13</v>
      </c>
      <c r="E61" s="47" t="s">
        <v>14</v>
      </c>
      <c r="F61" s="47" t="s">
        <v>15</v>
      </c>
      <c r="G61" s="47" t="s">
        <v>16</v>
      </c>
      <c r="H61" s="47" t="s">
        <v>17</v>
      </c>
      <c r="I61" s="47" t="s">
        <v>18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49" t="s">
        <v>19</v>
      </c>
      <c r="U61" s="80">
        <v>17.0</v>
      </c>
      <c r="V61" s="50">
        <v>409.0</v>
      </c>
      <c r="W61" s="51"/>
      <c r="X61" s="52"/>
      <c r="Y61" s="52"/>
      <c r="Z61" s="52"/>
      <c r="AA61" s="51"/>
      <c r="AB61" s="53"/>
      <c r="AC61" s="14">
        <f t="shared" ref="AC61:AG61" si="149">IF(V61="","", LOOKUP(V61, $D$160:$D$223, E$160:E$223))</f>
        <v>3.99</v>
      </c>
      <c r="AD61" s="14" t="str">
        <f t="shared" si="149"/>
        <v/>
      </c>
      <c r="AE61" s="14" t="str">
        <f t="shared" si="149"/>
        <v/>
      </c>
      <c r="AF61" s="14" t="str">
        <f t="shared" si="149"/>
        <v/>
      </c>
      <c r="AG61" s="14" t="str">
        <f t="shared" si="149"/>
        <v/>
      </c>
      <c r="AH61" s="14" t="str">
        <f t="shared" si="112"/>
        <v/>
      </c>
      <c r="AI61" s="14">
        <f t="shared" si="113"/>
        <v>3.99</v>
      </c>
      <c r="AJ61" s="14"/>
      <c r="AK61" s="14">
        <f>IF(AI61="", "", IF(AI62="", IF(AI63="",AI61-AB61-1-AI64, AI61-AB61-1-AI63), AI61-AB61-1-AI62))</f>
        <v>-0.22</v>
      </c>
    </row>
    <row r="62" ht="12.75" customHeight="1">
      <c r="A62" s="49" t="s">
        <v>19</v>
      </c>
      <c r="B62" s="80">
        <v>8.0</v>
      </c>
      <c r="C62" s="50"/>
      <c r="D62" s="51"/>
      <c r="E62" s="52"/>
      <c r="F62" s="52"/>
      <c r="G62" s="52"/>
      <c r="H62" s="51"/>
      <c r="I62" s="53"/>
      <c r="J62" s="14" t="str">
        <f t="shared" ref="J62:N62" si="150">IF(C62="","", LOOKUP(C62, $D$160:$D$223, E$160:E$223))</f>
        <v/>
      </c>
      <c r="K62" s="14" t="str">
        <f t="shared" si="150"/>
        <v/>
      </c>
      <c r="L62" s="14" t="str">
        <f t="shared" si="150"/>
        <v/>
      </c>
      <c r="M62" s="14" t="str">
        <f t="shared" si="150"/>
        <v/>
      </c>
      <c r="N62" s="14" t="str">
        <f t="shared" si="150"/>
        <v/>
      </c>
      <c r="O62" s="14" t="str">
        <f t="shared" ref="O62:O67" si="153">if(H62=1, 1, IF(H62="", "", If(H62&gt;$K$212, $L$212, if(H62&gt;$K$211, $L$211, if(H62&gt;$K$210, $L$210, if(H62&gt;$K$209, $L$209, if(H62&gt;$K$208, $L$208, if(H62&gt;$K$206, $L$206, if(H62&gt;$K$204, $L$204, if(H62&gt;$K$202, $L$202, if(H62&gt;$K$200, $L$200, if(H62&gt;$K$198, $L$198, if(H62&gt;$K$194, $L$194, if(H62&gt;$K$190, $L$190, if(H62&gt;$K$186, $L$186, if(H62&gt;$K$182, $L$182, if(H62&gt;$K$178, $L$178, $L$178)))))))))))))))))</f>
        <v/>
      </c>
      <c r="P62" s="14" t="str">
        <f t="shared" ref="P62:P67" si="154">IF(SUM(J62:O62)=0, "", SUM(J62:O62))</f>
        <v/>
      </c>
      <c r="Q62" s="14"/>
      <c r="R62" s="14" t="str">
        <f>IF(P62="", "", IF(P63="", IF(P64="",P62-I62-1-P65, P62-I62-1-P64), P62-I62-1-P63))</f>
        <v/>
      </c>
      <c r="S62" s="14"/>
      <c r="T62" s="54" t="s">
        <v>33</v>
      </c>
      <c r="U62" s="52"/>
      <c r="V62" s="51"/>
      <c r="W62" s="57"/>
      <c r="X62" s="54"/>
      <c r="Y62" s="57"/>
      <c r="Z62" s="57"/>
      <c r="AA62" s="51"/>
      <c r="AB62" s="57"/>
      <c r="AC62" s="14" t="str">
        <f t="shared" ref="AC62:AG62" si="151">IF(V62="","", LOOKUP(V62, $D$160:$D$223, E$160:E$223))</f>
        <v/>
      </c>
      <c r="AD62" s="14" t="str">
        <f t="shared" si="151"/>
        <v/>
      </c>
      <c r="AE62" s="14" t="str">
        <f t="shared" si="151"/>
        <v/>
      </c>
      <c r="AF62" s="14" t="str">
        <f t="shared" si="151"/>
        <v/>
      </c>
      <c r="AG62" s="14" t="str">
        <f t="shared" si="151"/>
        <v/>
      </c>
      <c r="AH62" s="14" t="str">
        <f t="shared" si="112"/>
        <v/>
      </c>
      <c r="AI62" s="14" t="str">
        <f t="shared" si="113"/>
        <v/>
      </c>
      <c r="AJ62" s="14"/>
      <c r="AK62" s="14" t="str">
        <f t="shared" ref="AK62:AK64" si="156">IF(AI62="", "", IF(AI63="", AI62-AB62-1-AI64, AI62-AB62-1-AI63))</f>
        <v/>
      </c>
    </row>
    <row r="63" ht="12.75" customHeight="1">
      <c r="A63" s="54" t="s">
        <v>33</v>
      </c>
      <c r="B63" s="52"/>
      <c r="C63" s="51"/>
      <c r="D63" s="57"/>
      <c r="E63" s="54"/>
      <c r="F63" s="57"/>
      <c r="G63" s="57"/>
      <c r="H63" s="51"/>
      <c r="I63" s="57"/>
      <c r="J63" s="14" t="str">
        <f t="shared" ref="J63:N63" si="152">IF(C63="","", LOOKUP(C63, $D$160:$D$223, E$160:E$223))</f>
        <v/>
      </c>
      <c r="K63" s="14" t="str">
        <f t="shared" si="152"/>
        <v/>
      </c>
      <c r="L63" s="14" t="str">
        <f t="shared" si="152"/>
        <v/>
      </c>
      <c r="M63" s="14" t="str">
        <f t="shared" si="152"/>
        <v/>
      </c>
      <c r="N63" s="14" t="str">
        <f t="shared" si="152"/>
        <v/>
      </c>
      <c r="O63" s="14" t="str">
        <f t="shared" si="153"/>
        <v/>
      </c>
      <c r="P63" s="14" t="str">
        <f t="shared" si="154"/>
        <v/>
      </c>
      <c r="Q63" s="14"/>
      <c r="R63" s="14" t="str">
        <f t="shared" ref="R63:R65" si="158">IF(P63="", "", IF(P64="", P63-I63-1-P65, P63-I63-1-P64))</f>
        <v/>
      </c>
      <c r="S63" s="14"/>
      <c r="U63" s="52"/>
      <c r="V63" s="57"/>
      <c r="W63" s="54"/>
      <c r="X63" s="54">
        <v>155.0</v>
      </c>
      <c r="Y63" s="57"/>
      <c r="Z63" s="57"/>
      <c r="AA63" s="51"/>
      <c r="AB63" s="57"/>
      <c r="AC63" s="14" t="str">
        <f t="shared" ref="AC63:AG63" si="155">IF(V63="","", LOOKUP(V63, $D$160:$D$223, E$160:E$223))</f>
        <v/>
      </c>
      <c r="AD63" s="14" t="str">
        <f t="shared" si="155"/>
        <v/>
      </c>
      <c r="AE63" s="14">
        <f t="shared" si="155"/>
        <v>3.21</v>
      </c>
      <c r="AF63" s="14" t="str">
        <f t="shared" si="155"/>
        <v/>
      </c>
      <c r="AG63" s="14" t="str">
        <f t="shared" si="155"/>
        <v/>
      </c>
      <c r="AH63" s="14" t="str">
        <f t="shared" si="112"/>
        <v/>
      </c>
      <c r="AI63" s="14">
        <f t="shared" si="113"/>
        <v>3.21</v>
      </c>
      <c r="AJ63" s="14"/>
      <c r="AK63" s="14">
        <f t="shared" si="156"/>
        <v>0.23</v>
      </c>
    </row>
    <row r="64" ht="12.75" customHeight="1">
      <c r="B64" s="52"/>
      <c r="C64" s="54"/>
      <c r="D64" s="57"/>
      <c r="E64" s="54"/>
      <c r="F64" s="57"/>
      <c r="G64" s="57"/>
      <c r="H64" s="51"/>
      <c r="I64" s="57"/>
      <c r="J64" s="14" t="str">
        <f t="shared" ref="J64:N64" si="157">IF(C64="","", LOOKUP(C64, $D$160:$D$223, E$160:E$223))</f>
        <v/>
      </c>
      <c r="K64" s="14" t="str">
        <f t="shared" si="157"/>
        <v/>
      </c>
      <c r="L64" s="14" t="str">
        <f t="shared" si="157"/>
        <v/>
      </c>
      <c r="M64" s="14" t="str">
        <f t="shared" si="157"/>
        <v/>
      </c>
      <c r="N64" s="14" t="str">
        <f t="shared" si="157"/>
        <v/>
      </c>
      <c r="O64" s="14" t="str">
        <f t="shared" si="153"/>
        <v/>
      </c>
      <c r="P64" s="14" t="str">
        <f t="shared" si="154"/>
        <v/>
      </c>
      <c r="Q64" s="14"/>
      <c r="R64" s="14" t="str">
        <f t="shared" si="158"/>
        <v/>
      </c>
      <c r="S64" s="14"/>
      <c r="T64" s="55" t="s">
        <v>35</v>
      </c>
      <c r="U64" s="52"/>
      <c r="V64" s="51"/>
      <c r="W64" s="55"/>
      <c r="X64" s="55"/>
      <c r="Y64" s="55"/>
      <c r="Z64" s="58"/>
      <c r="AA64" s="52"/>
      <c r="AB64" s="58"/>
      <c r="AC64" s="14" t="str">
        <f t="shared" ref="AC64:AG64" si="159">IF(V64="","", LOOKUP(V64, $D$160:$D$223, E$160:E$223))</f>
        <v/>
      </c>
      <c r="AD64" s="14" t="str">
        <f t="shared" si="159"/>
        <v/>
      </c>
      <c r="AE64" s="14" t="str">
        <f t="shared" si="159"/>
        <v/>
      </c>
      <c r="AF64" s="14" t="str">
        <f t="shared" si="159"/>
        <v/>
      </c>
      <c r="AG64" s="14" t="str">
        <f t="shared" si="159"/>
        <v/>
      </c>
      <c r="AH64" s="14" t="str">
        <f t="shared" si="112"/>
        <v/>
      </c>
      <c r="AI64" s="14" t="str">
        <f t="shared" si="113"/>
        <v/>
      </c>
      <c r="AJ64" s="14"/>
      <c r="AK64" s="14" t="str">
        <f t="shared" si="156"/>
        <v/>
      </c>
    </row>
    <row r="65" ht="12.75" customHeight="1">
      <c r="A65" s="55" t="s">
        <v>35</v>
      </c>
      <c r="B65" s="52"/>
      <c r="C65" s="51"/>
      <c r="D65" s="55"/>
      <c r="E65" s="55"/>
      <c r="F65" s="55"/>
      <c r="G65" s="58"/>
      <c r="H65" s="52"/>
      <c r="I65" s="58"/>
      <c r="J65" s="14" t="str">
        <f t="shared" ref="J65:N65" si="160">IF(C65="","", LOOKUP(C65, $D$160:$D$223, E$160:E$223))</f>
        <v/>
      </c>
      <c r="K65" s="14" t="str">
        <f t="shared" si="160"/>
        <v/>
      </c>
      <c r="L65" s="14" t="str">
        <f t="shared" si="160"/>
        <v/>
      </c>
      <c r="M65" s="14" t="str">
        <f t="shared" si="160"/>
        <v/>
      </c>
      <c r="N65" s="14" t="str">
        <f t="shared" si="160"/>
        <v/>
      </c>
      <c r="O65" s="14" t="str">
        <f t="shared" si="153"/>
        <v/>
      </c>
      <c r="P65" s="14" t="str">
        <f t="shared" si="154"/>
        <v/>
      </c>
      <c r="Q65" s="14"/>
      <c r="R65" s="14" t="str">
        <f t="shared" si="158"/>
        <v/>
      </c>
      <c r="S65" s="14"/>
      <c r="T65" s="56" t="s">
        <v>22</v>
      </c>
      <c r="U65" s="52"/>
      <c r="V65" s="51"/>
      <c r="W65" s="51"/>
      <c r="X65" s="51"/>
      <c r="Y65" s="51"/>
      <c r="Z65" s="51"/>
      <c r="AA65" s="56">
        <v>39.0</v>
      </c>
      <c r="AB65" s="59"/>
      <c r="AC65" s="14" t="str">
        <f t="shared" ref="AC65:AG65" si="161">IF(V65="","", LOOKUP(V65, $D$160:$D$223, E$160:E$223))</f>
        <v/>
      </c>
      <c r="AD65" s="14" t="str">
        <f t="shared" si="161"/>
        <v/>
      </c>
      <c r="AE65" s="14" t="str">
        <f t="shared" si="161"/>
        <v/>
      </c>
      <c r="AF65" s="14" t="str">
        <f t="shared" si="161"/>
        <v/>
      </c>
      <c r="AG65" s="14" t="str">
        <f t="shared" si="161"/>
        <v/>
      </c>
      <c r="AH65" s="14">
        <f t="shared" si="112"/>
        <v>1.98</v>
      </c>
      <c r="AI65" s="14">
        <f t="shared" si="113"/>
        <v>1.98</v>
      </c>
      <c r="AJ65" s="14"/>
      <c r="AK65" s="14">
        <f t="shared" ref="AK65:AK67" si="164">IF(AI65="", "", AI65-AB65-1-AI66)</f>
        <v>-0.15</v>
      </c>
    </row>
    <row r="66" ht="12.75" customHeight="1">
      <c r="A66" s="56" t="s">
        <v>22</v>
      </c>
      <c r="B66" s="52"/>
      <c r="C66" s="51"/>
      <c r="D66" s="51"/>
      <c r="E66" s="51"/>
      <c r="F66" s="51"/>
      <c r="G66" s="51"/>
      <c r="H66" s="56"/>
      <c r="I66" s="59"/>
      <c r="J66" s="14" t="str">
        <f t="shared" ref="J66:N66" si="162">IF(C66="","", LOOKUP(C66, $D$160:$D$223, E$160:E$223))</f>
        <v/>
      </c>
      <c r="K66" s="14" t="str">
        <f t="shared" si="162"/>
        <v/>
      </c>
      <c r="L66" s="14" t="str">
        <f t="shared" si="162"/>
        <v/>
      </c>
      <c r="M66" s="14" t="str">
        <f t="shared" si="162"/>
        <v/>
      </c>
      <c r="N66" s="14" t="str">
        <f t="shared" si="162"/>
        <v/>
      </c>
      <c r="O66" s="14" t="str">
        <f t="shared" si="153"/>
        <v/>
      </c>
      <c r="P66" s="14" t="str">
        <f t="shared" si="154"/>
        <v/>
      </c>
      <c r="Q66" s="14"/>
      <c r="R66" s="14" t="str">
        <f t="shared" ref="R66:R67" si="166">IF(P66="", "", P66-I66-1-P67)</f>
        <v/>
      </c>
      <c r="S66" s="14"/>
      <c r="T66" s="14"/>
      <c r="U66" s="52"/>
      <c r="V66" s="51"/>
      <c r="W66" s="51"/>
      <c r="X66" s="51"/>
      <c r="Y66" s="51"/>
      <c r="Z66" s="51"/>
      <c r="AA66" s="56">
        <v>5.0</v>
      </c>
      <c r="AB66" s="60"/>
      <c r="AC66" s="14" t="str">
        <f t="shared" ref="AC66:AG66" si="163">IF(V66="","", LOOKUP(V66, $D$160:$D$223, E$160:E$223))</f>
        <v/>
      </c>
      <c r="AD66" s="14" t="str">
        <f t="shared" si="163"/>
        <v/>
      </c>
      <c r="AE66" s="14" t="str">
        <f t="shared" si="163"/>
        <v/>
      </c>
      <c r="AF66" s="14" t="str">
        <f t="shared" si="163"/>
        <v/>
      </c>
      <c r="AG66" s="14" t="str">
        <f t="shared" si="163"/>
        <v/>
      </c>
      <c r="AH66" s="14">
        <f t="shared" si="112"/>
        <v>1.13</v>
      </c>
      <c r="AI66" s="14">
        <f t="shared" si="113"/>
        <v>1.13</v>
      </c>
      <c r="AJ66" s="14"/>
      <c r="AK66" s="14">
        <f t="shared" si="164"/>
        <v>0.13</v>
      </c>
    </row>
    <row r="67" ht="12.75" customHeight="1">
      <c r="A67" s="14"/>
      <c r="B67" s="52"/>
      <c r="C67" s="51"/>
      <c r="D67" s="51"/>
      <c r="E67" s="51"/>
      <c r="F67" s="51"/>
      <c r="G67" s="51"/>
      <c r="H67" s="56"/>
      <c r="I67" s="60"/>
      <c r="J67" s="14" t="str">
        <f t="shared" ref="J67:N67" si="165">IF(C67="","", LOOKUP(C67, $D$160:$D$223, E$160:E$223))</f>
        <v/>
      </c>
      <c r="K67" s="14" t="str">
        <f t="shared" si="165"/>
        <v/>
      </c>
      <c r="L67" s="14" t="str">
        <f t="shared" si="165"/>
        <v/>
      </c>
      <c r="M67" s="14" t="str">
        <f t="shared" si="165"/>
        <v/>
      </c>
      <c r="N67" s="14" t="str">
        <f t="shared" si="165"/>
        <v/>
      </c>
      <c r="O67" s="14" t="str">
        <f t="shared" si="153"/>
        <v/>
      </c>
      <c r="P67" s="14" t="str">
        <f t="shared" si="154"/>
        <v/>
      </c>
      <c r="Q67" s="14"/>
      <c r="R67" s="14" t="str">
        <f t="shared" si="166"/>
        <v/>
      </c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 t="str">
        <f t="shared" ref="AC67:AG67" si="167">IF(V67="","", LOOKUP(V67, $D$160:$D$223, E$160:E$223))</f>
        <v/>
      </c>
      <c r="AD67" s="14" t="str">
        <f t="shared" si="167"/>
        <v/>
      </c>
      <c r="AE67" s="14" t="str">
        <f t="shared" si="167"/>
        <v/>
      </c>
      <c r="AF67" s="14" t="str">
        <f t="shared" si="167"/>
        <v/>
      </c>
      <c r="AG67" s="14" t="str">
        <f t="shared" si="167"/>
        <v/>
      </c>
      <c r="AH67" s="14" t="str">
        <f t="shared" si="112"/>
        <v/>
      </c>
      <c r="AI67" s="14" t="str">
        <f t="shared" si="113"/>
        <v/>
      </c>
      <c r="AJ67" s="14"/>
      <c r="AK67" s="14" t="str">
        <f t="shared" si="164"/>
        <v/>
      </c>
    </row>
    <row r="68" ht="12.75" customHeight="1">
      <c r="A68" s="14"/>
      <c r="B68" s="14"/>
      <c r="C68" s="47" t="s">
        <v>12</v>
      </c>
      <c r="D68" s="47" t="s">
        <v>13</v>
      </c>
      <c r="E68" s="47" t="s">
        <v>14</v>
      </c>
      <c r="F68" s="47" t="s">
        <v>15</v>
      </c>
      <c r="G68" s="47" t="s">
        <v>16</v>
      </c>
      <c r="H68" s="47" t="s">
        <v>17</v>
      </c>
      <c r="I68" s="47" t="s">
        <v>18</v>
      </c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49" t="s">
        <v>19</v>
      </c>
      <c r="U68" s="80">
        <v>18.0</v>
      </c>
      <c r="V68" s="50">
        <v>330.0</v>
      </c>
      <c r="W68" s="51"/>
      <c r="X68" s="52"/>
      <c r="Y68" s="52"/>
      <c r="Z68" s="52"/>
      <c r="AA68" s="51"/>
      <c r="AB68" s="49"/>
      <c r="AC68" s="14">
        <f t="shared" ref="AC68:AG68" si="168">IF(V68="","", LOOKUP(V68, $D$160:$D$223, E$160:E$223))</f>
        <v>3.79</v>
      </c>
      <c r="AD68" s="14" t="str">
        <f t="shared" si="168"/>
        <v/>
      </c>
      <c r="AE68" s="14" t="str">
        <f t="shared" si="168"/>
        <v/>
      </c>
      <c r="AF68" s="14" t="str">
        <f t="shared" si="168"/>
        <v/>
      </c>
      <c r="AG68" s="14" t="str">
        <f t="shared" si="168"/>
        <v/>
      </c>
      <c r="AH68" s="14" t="str">
        <f t="shared" si="112"/>
        <v/>
      </c>
      <c r="AI68" s="14">
        <f t="shared" si="113"/>
        <v>3.79</v>
      </c>
      <c r="AJ68" s="14"/>
      <c r="AK68" s="14">
        <f>IF(AI68="", "", IF(AI69="", IF(AI70="",AI68-AB68-1-AI71, AI68-AB68-1-AI70), AI68-AB68-1-AI69))</f>
        <v>-0.14</v>
      </c>
    </row>
    <row r="69" ht="12.75" customHeight="1">
      <c r="A69" s="49" t="s">
        <v>19</v>
      </c>
      <c r="B69" s="80">
        <v>9.0</v>
      </c>
      <c r="C69" s="50"/>
      <c r="D69" s="51"/>
      <c r="E69" s="52"/>
      <c r="F69" s="52"/>
      <c r="G69" s="52"/>
      <c r="H69" s="51"/>
      <c r="I69" s="49"/>
      <c r="J69" s="14" t="str">
        <f t="shared" ref="J69:N69" si="169">IF(C69="","", LOOKUP(C69, $D$160:$D$223, E$160:E$223))</f>
        <v/>
      </c>
      <c r="K69" s="14" t="str">
        <f t="shared" si="169"/>
        <v/>
      </c>
      <c r="L69" s="14" t="str">
        <f t="shared" si="169"/>
        <v/>
      </c>
      <c r="M69" s="14" t="str">
        <f t="shared" si="169"/>
        <v/>
      </c>
      <c r="N69" s="14" t="str">
        <f t="shared" si="169"/>
        <v/>
      </c>
      <c r="O69" s="14" t="str">
        <f t="shared" ref="O69:O74" si="172">if(H69=1, 1, IF(H69="", "", If(H69&gt;$K$212, $L$212, if(H69&gt;$K$211, $L$211, if(H69&gt;$K$210, $L$210, if(H69&gt;$K$209, $L$209, if(H69&gt;$K$208, $L$208, if(H69&gt;$K$206, $L$206, if(H69&gt;$K$204, $L$204, if(H69&gt;$K$202, $L$202, if(H69&gt;$K$200, $L$200, if(H69&gt;$K$198, $L$198, if(H69&gt;$K$194, $L$194, if(H69&gt;$K$190, $L$190, if(H69&gt;$K$186, $L$186, if(H69&gt;$K$182, $L$182, if(H69&gt;$K$178, $L$178, $L$178)))))))))))))))))</f>
        <v/>
      </c>
      <c r="P69" s="14" t="str">
        <f t="shared" ref="P69:P74" si="173">IF(SUM(J69:O69)=0, "", SUM(J69:O69))</f>
        <v/>
      </c>
      <c r="Q69" s="14"/>
      <c r="R69" s="14" t="str">
        <f>IF(P69="", "", IF(P70="", IF(P71="",P69-I69-1-P72, P69-I69-1-P71), P69-I69-1-P70))</f>
        <v/>
      </c>
      <c r="S69" s="14"/>
      <c r="T69" s="54" t="s">
        <v>33</v>
      </c>
      <c r="U69" s="52"/>
      <c r="V69" s="51"/>
      <c r="W69" s="54">
        <v>145.0</v>
      </c>
      <c r="X69" s="54"/>
      <c r="Y69" s="57"/>
      <c r="Z69" s="57"/>
      <c r="AA69" s="51"/>
      <c r="AB69" s="54">
        <v>1.0</v>
      </c>
      <c r="AC69" s="14" t="str">
        <f t="shared" ref="AC69:AG69" si="170">IF(V69="","", LOOKUP(V69, $D$160:$D$223, E$160:E$223))</f>
        <v/>
      </c>
      <c r="AD69" s="14">
        <f t="shared" si="170"/>
        <v>2.93</v>
      </c>
      <c r="AE69" s="14" t="str">
        <f t="shared" si="170"/>
        <v/>
      </c>
      <c r="AF69" s="14" t="str">
        <f t="shared" si="170"/>
        <v/>
      </c>
      <c r="AG69" s="14" t="str">
        <f t="shared" si="170"/>
        <v/>
      </c>
      <c r="AH69" s="14" t="str">
        <f t="shared" si="112"/>
        <v/>
      </c>
      <c r="AI69" s="14">
        <f t="shared" si="113"/>
        <v>2.93</v>
      </c>
      <c r="AJ69" s="14"/>
      <c r="AK69" s="14">
        <f t="shared" ref="AK69:AK71" si="175">IF(AI69="", "", IF(AI70="", AI69-AB69-1-AI71, AI69-AB69-1-AI70))</f>
        <v>-1.89</v>
      </c>
    </row>
    <row r="70" ht="12.75" customHeight="1">
      <c r="A70" s="54" t="s">
        <v>33</v>
      </c>
      <c r="B70" s="52"/>
      <c r="C70" s="51"/>
      <c r="D70" s="54"/>
      <c r="E70" s="54"/>
      <c r="F70" s="57"/>
      <c r="G70" s="57"/>
      <c r="H70" s="51"/>
      <c r="I70" s="57"/>
      <c r="J70" s="14" t="str">
        <f t="shared" ref="J70:N70" si="171">IF(C70="","", LOOKUP(C70, $D$160:$D$223, E$160:E$223))</f>
        <v/>
      </c>
      <c r="K70" s="14" t="str">
        <f t="shared" si="171"/>
        <v/>
      </c>
      <c r="L70" s="14" t="str">
        <f t="shared" si="171"/>
        <v/>
      </c>
      <c r="M70" s="14" t="str">
        <f t="shared" si="171"/>
        <v/>
      </c>
      <c r="N70" s="14" t="str">
        <f t="shared" si="171"/>
        <v/>
      </c>
      <c r="O70" s="14" t="str">
        <f t="shared" si="172"/>
        <v/>
      </c>
      <c r="P70" s="14" t="str">
        <f t="shared" si="173"/>
        <v/>
      </c>
      <c r="Q70" s="14"/>
      <c r="R70" s="14" t="str">
        <f t="shared" ref="R70:R72" si="177">IF(P70="", "", IF(P71="", P70-I70-1-P72, P70-I70-1-P71))</f>
        <v/>
      </c>
      <c r="S70" s="14"/>
      <c r="U70" s="52"/>
      <c r="V70" s="57"/>
      <c r="W70" s="54"/>
      <c r="X70" s="54"/>
      <c r="Y70" s="57"/>
      <c r="Z70" s="57"/>
      <c r="AA70" s="51"/>
      <c r="AB70" s="57"/>
      <c r="AC70" s="14" t="str">
        <f t="shared" ref="AC70:AG70" si="174">IF(V70="","", LOOKUP(V70, $D$160:$D$223, E$160:E$223))</f>
        <v/>
      </c>
      <c r="AD70" s="14" t="str">
        <f t="shared" si="174"/>
        <v/>
      </c>
      <c r="AE70" s="14" t="str">
        <f t="shared" si="174"/>
        <v/>
      </c>
      <c r="AF70" s="14" t="str">
        <f t="shared" si="174"/>
        <v/>
      </c>
      <c r="AG70" s="14" t="str">
        <f t="shared" si="174"/>
        <v/>
      </c>
      <c r="AH70" s="14" t="str">
        <f t="shared" si="112"/>
        <v/>
      </c>
      <c r="AI70" s="14" t="str">
        <f t="shared" si="113"/>
        <v/>
      </c>
      <c r="AJ70" s="14"/>
      <c r="AK70" s="14" t="str">
        <f t="shared" si="175"/>
        <v/>
      </c>
    </row>
    <row r="71" ht="12.75" customHeight="1">
      <c r="B71" s="52"/>
      <c r="C71" s="57"/>
      <c r="D71" s="54"/>
      <c r="E71" s="54"/>
      <c r="F71" s="57"/>
      <c r="G71" s="57"/>
      <c r="H71" s="51"/>
      <c r="I71" s="57"/>
      <c r="J71" s="14" t="str">
        <f t="shared" ref="J71:N71" si="176">IF(C71="","", LOOKUP(C71, $D$160:$D$223, E$160:E$223))</f>
        <v/>
      </c>
      <c r="K71" s="14" t="str">
        <f t="shared" si="176"/>
        <v/>
      </c>
      <c r="L71" s="14" t="str">
        <f t="shared" si="176"/>
        <v/>
      </c>
      <c r="M71" s="14" t="str">
        <f t="shared" si="176"/>
        <v/>
      </c>
      <c r="N71" s="14" t="str">
        <f t="shared" si="176"/>
        <v/>
      </c>
      <c r="O71" s="14" t="str">
        <f t="shared" si="172"/>
        <v/>
      </c>
      <c r="P71" s="14" t="str">
        <f t="shared" si="173"/>
        <v/>
      </c>
      <c r="Q71" s="14"/>
      <c r="R71" s="14" t="str">
        <f t="shared" si="177"/>
        <v/>
      </c>
      <c r="S71" s="14"/>
      <c r="T71" s="55" t="s">
        <v>35</v>
      </c>
      <c r="U71" s="52"/>
      <c r="V71" s="51"/>
      <c r="W71" s="55"/>
      <c r="X71" s="55">
        <v>48.0</v>
      </c>
      <c r="Y71" s="55"/>
      <c r="Z71" s="58"/>
      <c r="AA71" s="52"/>
      <c r="AB71" s="58"/>
      <c r="AC71" s="14" t="str">
        <f t="shared" ref="AC71:AG71" si="178">IF(V71="","", LOOKUP(V71, $D$160:$D$223, E$160:E$223))</f>
        <v/>
      </c>
      <c r="AD71" s="14" t="str">
        <f t="shared" si="178"/>
        <v/>
      </c>
      <c r="AE71" s="14">
        <f t="shared" si="178"/>
        <v>2.82</v>
      </c>
      <c r="AF71" s="14" t="str">
        <f t="shared" si="178"/>
        <v/>
      </c>
      <c r="AG71" s="14" t="str">
        <f t="shared" si="178"/>
        <v/>
      </c>
      <c r="AH71" s="14" t="str">
        <f t="shared" si="112"/>
        <v/>
      </c>
      <c r="AI71" s="14">
        <f t="shared" si="113"/>
        <v>2.82</v>
      </c>
      <c r="AJ71" s="14"/>
      <c r="AK71" s="14">
        <f t="shared" si="175"/>
        <v>0.21</v>
      </c>
    </row>
    <row r="72" ht="12.75" customHeight="1">
      <c r="A72" s="55" t="s">
        <v>35</v>
      </c>
      <c r="B72" s="52"/>
      <c r="C72" s="51"/>
      <c r="D72" s="55"/>
      <c r="E72" s="55"/>
      <c r="F72" s="55"/>
      <c r="G72" s="58"/>
      <c r="H72" s="52"/>
      <c r="I72" s="58"/>
      <c r="J72" s="14" t="str">
        <f t="shared" ref="J72:N72" si="179">IF(C72="","", LOOKUP(C72, $D$160:$D$223, E$160:E$223))</f>
        <v/>
      </c>
      <c r="K72" s="14" t="str">
        <f t="shared" si="179"/>
        <v/>
      </c>
      <c r="L72" s="14" t="str">
        <f t="shared" si="179"/>
        <v/>
      </c>
      <c r="M72" s="14" t="str">
        <f t="shared" si="179"/>
        <v/>
      </c>
      <c r="N72" s="14" t="str">
        <f t="shared" si="179"/>
        <v/>
      </c>
      <c r="O72" s="14" t="str">
        <f t="shared" si="172"/>
        <v/>
      </c>
      <c r="P72" s="14" t="str">
        <f t="shared" si="173"/>
        <v/>
      </c>
      <c r="Q72" s="14"/>
      <c r="R72" s="14" t="str">
        <f t="shared" si="177"/>
        <v/>
      </c>
      <c r="S72" s="14"/>
      <c r="T72" s="56" t="s">
        <v>22</v>
      </c>
      <c r="U72" s="52"/>
      <c r="V72" s="51"/>
      <c r="W72" s="51"/>
      <c r="X72" s="51"/>
      <c r="Y72" s="51"/>
      <c r="Z72" s="51"/>
      <c r="AA72" s="56">
        <v>13.0</v>
      </c>
      <c r="AB72" s="59"/>
      <c r="AC72" s="14" t="str">
        <f t="shared" ref="AC72:AG72" si="180">IF(V72="","", LOOKUP(V72, $D$160:$D$223, E$160:E$223))</f>
        <v/>
      </c>
      <c r="AD72" s="14" t="str">
        <f t="shared" si="180"/>
        <v/>
      </c>
      <c r="AE72" s="14" t="str">
        <f t="shared" si="180"/>
        <v/>
      </c>
      <c r="AF72" s="14" t="str">
        <f t="shared" si="180"/>
        <v/>
      </c>
      <c r="AG72" s="14" t="str">
        <f t="shared" si="180"/>
        <v/>
      </c>
      <c r="AH72" s="14">
        <f t="shared" si="112"/>
        <v>1.61</v>
      </c>
      <c r="AI72" s="14">
        <f t="shared" si="113"/>
        <v>1.61</v>
      </c>
      <c r="AJ72" s="14"/>
      <c r="AK72" s="14">
        <f>IF(AI72="", "", AI72-AB72-1-AI73)</f>
        <v>0.61</v>
      </c>
    </row>
    <row r="73" ht="12.75" customHeight="1">
      <c r="A73" s="56" t="s">
        <v>22</v>
      </c>
      <c r="B73" s="52"/>
      <c r="C73" s="51"/>
      <c r="D73" s="51"/>
      <c r="E73" s="51"/>
      <c r="F73" s="51"/>
      <c r="G73" s="51"/>
      <c r="H73" s="56"/>
      <c r="I73" s="59"/>
      <c r="J73" s="14" t="str">
        <f t="shared" ref="J73:N73" si="181">IF(C73="","", LOOKUP(C73, $D$160:$D$223, E$160:E$223))</f>
        <v/>
      </c>
      <c r="K73" s="14" t="str">
        <f t="shared" si="181"/>
        <v/>
      </c>
      <c r="L73" s="14" t="str">
        <f t="shared" si="181"/>
        <v/>
      </c>
      <c r="M73" s="14" t="str">
        <f t="shared" si="181"/>
        <v/>
      </c>
      <c r="N73" s="14" t="str">
        <f t="shared" si="181"/>
        <v/>
      </c>
      <c r="O73" s="14" t="str">
        <f t="shared" si="172"/>
        <v/>
      </c>
      <c r="P73" s="14" t="str">
        <f t="shared" si="173"/>
        <v/>
      </c>
      <c r="Q73" s="14"/>
      <c r="R73" s="14" t="str">
        <f>IF(P73="", "", P73-I73-1-P74)</f>
        <v/>
      </c>
      <c r="S73" s="14"/>
      <c r="T73" s="14"/>
      <c r="U73" s="52"/>
      <c r="V73" s="51"/>
      <c r="W73" s="51"/>
      <c r="X73" s="51"/>
      <c r="Y73" s="51"/>
      <c r="Z73" s="51"/>
      <c r="AA73" s="56"/>
      <c r="AB73" s="60"/>
      <c r="AC73" s="14" t="str">
        <f t="shared" ref="AC73:AG73" si="182">IF(V73="","", LOOKUP(V73, $D$160:$D$223, E$160:E$223))</f>
        <v/>
      </c>
      <c r="AD73" s="14" t="str">
        <f t="shared" si="182"/>
        <v/>
      </c>
      <c r="AE73" s="14" t="str">
        <f t="shared" si="182"/>
        <v/>
      </c>
      <c r="AF73" s="14" t="str">
        <f t="shared" si="182"/>
        <v/>
      </c>
      <c r="AG73" s="14" t="str">
        <f t="shared" si="182"/>
        <v/>
      </c>
      <c r="AH73" s="14" t="str">
        <f t="shared" si="112"/>
        <v/>
      </c>
      <c r="AI73" s="14" t="str">
        <f t="shared" si="113"/>
        <v/>
      </c>
      <c r="AJ73" s="14"/>
      <c r="AK73" s="14" t="str">
        <f>IF(AI73="", "", AI73-AB73-1-P138)</f>
        <v/>
      </c>
    </row>
    <row r="74" ht="12.75" customHeight="1">
      <c r="A74" s="14"/>
      <c r="B74" s="52"/>
      <c r="C74" s="51"/>
      <c r="D74" s="51"/>
      <c r="E74" s="51"/>
      <c r="F74" s="51"/>
      <c r="G74" s="51"/>
      <c r="H74" s="56"/>
      <c r="I74" s="60"/>
      <c r="J74" s="14" t="str">
        <f t="shared" ref="J74:N74" si="183">IF(C74="","", LOOKUP(C74, $D$160:$D$223, E$160:E$223))</f>
        <v/>
      </c>
      <c r="K74" s="14" t="str">
        <f t="shared" si="183"/>
        <v/>
      </c>
      <c r="L74" s="14" t="str">
        <f t="shared" si="183"/>
        <v/>
      </c>
      <c r="M74" s="14" t="str">
        <f t="shared" si="183"/>
        <v/>
      </c>
      <c r="N74" s="14" t="str">
        <f t="shared" si="183"/>
        <v/>
      </c>
      <c r="O74" s="14" t="str">
        <f t="shared" si="172"/>
        <v/>
      </c>
      <c r="P74" s="14" t="str">
        <f t="shared" si="173"/>
        <v/>
      </c>
      <c r="Q74" s="14"/>
      <c r="R74" s="14" t="str">
        <f>IF(P74="", "", P74-I74-1-AN11)</f>
        <v/>
      </c>
      <c r="S74" s="14"/>
      <c r="T74" s="47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 ht="12.75" customHeight="1">
      <c r="S75" s="14"/>
      <c r="T75" s="47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 ht="12.75" customHeight="1">
      <c r="S76" s="14"/>
      <c r="T76" s="47"/>
      <c r="U76" s="47"/>
      <c r="V76" s="47"/>
      <c r="W76" s="47"/>
      <c r="X76" s="47"/>
      <c r="Y76" s="47"/>
      <c r="Z76" s="47"/>
      <c r="AA76" s="47"/>
      <c r="AB76" s="47"/>
      <c r="AC76" s="14"/>
      <c r="AD76" s="47"/>
      <c r="AE76" s="14"/>
      <c r="AF76" s="14"/>
      <c r="AG76" s="14"/>
      <c r="AH76" s="14"/>
      <c r="AI76" s="14"/>
      <c r="AJ76" s="14"/>
      <c r="AK76" s="14"/>
    </row>
    <row r="77" ht="12.75" customHeight="1">
      <c r="S77" s="14"/>
      <c r="T77" s="47"/>
      <c r="U77" s="47"/>
      <c r="V77" s="47"/>
      <c r="W77" s="47"/>
      <c r="X77" s="14"/>
      <c r="Y77" s="47"/>
      <c r="Z77" s="47"/>
      <c r="AA77" s="47"/>
      <c r="AB77" s="47"/>
      <c r="AC77" s="47"/>
      <c r="AD77" s="47"/>
      <c r="AE77" s="14"/>
      <c r="AF77" s="14"/>
      <c r="AG77" s="14"/>
      <c r="AH77" s="14"/>
      <c r="AI77" s="14"/>
      <c r="AJ77" s="14"/>
      <c r="AK77" s="14"/>
    </row>
    <row r="78" ht="12.75" customHeight="1">
      <c r="S78" s="14"/>
      <c r="T78" s="47"/>
      <c r="U78" s="47"/>
      <c r="V78" s="47"/>
      <c r="W78" s="47"/>
      <c r="X78" s="14"/>
      <c r="Y78" s="47"/>
      <c r="Z78" s="47"/>
      <c r="AA78" s="47"/>
      <c r="AB78" s="47"/>
      <c r="AC78" s="14"/>
      <c r="AD78" s="14"/>
      <c r="AE78" s="14"/>
      <c r="AF78" s="14"/>
      <c r="AG78" s="14"/>
      <c r="AH78" s="14"/>
      <c r="AI78" s="14"/>
      <c r="AJ78" s="14"/>
      <c r="AK78" s="14"/>
    </row>
    <row r="79" ht="12.75" customHeight="1">
      <c r="S79" s="14"/>
      <c r="T79" s="47"/>
      <c r="U79" s="47"/>
      <c r="V79" s="47"/>
      <c r="W79" s="47"/>
      <c r="X79" s="47"/>
      <c r="Y79" s="47"/>
      <c r="Z79" s="47"/>
      <c r="AA79" s="47"/>
      <c r="AB79" s="47"/>
      <c r="AC79" s="14"/>
      <c r="AD79" s="14"/>
      <c r="AE79" s="14"/>
      <c r="AF79" s="14"/>
      <c r="AG79" s="14"/>
      <c r="AH79" s="14"/>
      <c r="AI79" s="14"/>
      <c r="AJ79" s="14"/>
      <c r="AK79" s="14"/>
    </row>
    <row r="80" ht="12.75" customHeight="1">
      <c r="S80" s="14"/>
      <c r="T80" s="47"/>
      <c r="U80" s="47"/>
      <c r="V80" s="47"/>
      <c r="W80" s="47"/>
      <c r="X80" s="14"/>
      <c r="Y80" s="47"/>
      <c r="Z80" s="47"/>
      <c r="AA80" s="47"/>
      <c r="AB80" s="47"/>
      <c r="AC80" s="14"/>
      <c r="AD80" s="14"/>
      <c r="AE80" s="14"/>
      <c r="AF80" s="14"/>
      <c r="AG80" s="14"/>
      <c r="AH80" s="14"/>
      <c r="AI80" s="14"/>
      <c r="AJ80" s="14"/>
      <c r="AK80" s="14"/>
    </row>
    <row r="81" ht="12.75" customHeight="1">
      <c r="S81" s="14"/>
      <c r="T81" s="47"/>
      <c r="U81" s="47"/>
      <c r="V81" s="47"/>
      <c r="W81" s="47"/>
      <c r="X81" s="14"/>
      <c r="Y81" s="47"/>
      <c r="Z81" s="47"/>
      <c r="AA81" s="47"/>
      <c r="AB81" s="47"/>
      <c r="AC81" s="47"/>
      <c r="AD81" s="47"/>
      <c r="AE81" s="14"/>
      <c r="AF81" s="14"/>
      <c r="AG81" s="14"/>
      <c r="AH81" s="14"/>
      <c r="AI81" s="14"/>
      <c r="AJ81" s="14"/>
      <c r="AK81" s="14"/>
    </row>
    <row r="82" ht="12.75" customHeight="1">
      <c r="S82" s="14"/>
      <c r="T82" s="47"/>
      <c r="U82" s="47"/>
      <c r="V82" s="47"/>
      <c r="W82" s="47"/>
      <c r="X82" s="14"/>
      <c r="Y82" s="47"/>
      <c r="Z82" s="47"/>
      <c r="AA82" s="47"/>
      <c r="AB82" s="47"/>
      <c r="AC82" s="47"/>
      <c r="AD82" s="47"/>
      <c r="AE82" s="14"/>
      <c r="AF82" s="14"/>
      <c r="AG82" s="14"/>
      <c r="AH82" s="14"/>
      <c r="AI82" s="14"/>
      <c r="AJ82" s="14"/>
      <c r="AK82" s="14"/>
    </row>
    <row r="83" ht="12.75" customHeight="1">
      <c r="S83" s="14"/>
      <c r="T83" s="47"/>
      <c r="U83" s="47"/>
      <c r="V83" s="47"/>
      <c r="W83" s="47"/>
      <c r="X83" s="14"/>
      <c r="Y83" s="47"/>
      <c r="Z83" s="47"/>
      <c r="AA83" s="47"/>
      <c r="AB83" s="47"/>
      <c r="AC83" s="47"/>
      <c r="AD83" s="47"/>
      <c r="AE83" s="14"/>
      <c r="AF83" s="14"/>
      <c r="AG83" s="14"/>
      <c r="AH83" s="14"/>
      <c r="AI83" s="14"/>
      <c r="AJ83" s="14"/>
      <c r="AK83" s="14"/>
    </row>
    <row r="84" ht="12.75" customHeight="1">
      <c r="S84" s="14"/>
      <c r="T84" s="47"/>
      <c r="U84" s="47"/>
      <c r="V84" s="47"/>
      <c r="W84" s="47"/>
      <c r="X84" s="47"/>
      <c r="Y84" s="47"/>
      <c r="Z84" s="47"/>
      <c r="AA84" s="47"/>
      <c r="AB84" s="47"/>
      <c r="AC84" s="14"/>
      <c r="AD84" s="14"/>
      <c r="AE84" s="14"/>
      <c r="AF84" s="14"/>
      <c r="AG84" s="14"/>
      <c r="AH84" s="14"/>
      <c r="AI84" s="14"/>
      <c r="AJ84" s="14"/>
      <c r="AK84" s="14"/>
    </row>
    <row r="85" ht="12.75" customHeight="1">
      <c r="S85" s="14"/>
      <c r="T85" s="47"/>
      <c r="U85" s="47"/>
      <c r="V85" s="47"/>
      <c r="W85" s="47"/>
      <c r="X85" s="14"/>
      <c r="Y85" s="47"/>
      <c r="Z85" s="47"/>
      <c r="AA85" s="47"/>
      <c r="AB85" s="47"/>
      <c r="AC85" s="14"/>
      <c r="AD85" s="14"/>
      <c r="AE85" s="14"/>
      <c r="AF85" s="14"/>
      <c r="AG85" s="14"/>
      <c r="AH85" s="14"/>
      <c r="AI85" s="14"/>
      <c r="AJ85" s="14"/>
      <c r="AK85" s="14"/>
    </row>
    <row r="86" ht="12.75" customHeight="1">
      <c r="S86" s="14"/>
      <c r="T86" s="47"/>
      <c r="U86" s="47"/>
      <c r="V86" s="47"/>
      <c r="W86" s="47"/>
      <c r="X86" s="14"/>
      <c r="Y86" s="47"/>
      <c r="Z86" s="47"/>
      <c r="AA86" s="47"/>
      <c r="AB86" s="47"/>
      <c r="AC86" s="14"/>
      <c r="AD86" s="14"/>
      <c r="AE86" s="14"/>
      <c r="AF86" s="14"/>
      <c r="AG86" s="14"/>
      <c r="AH86" s="14"/>
      <c r="AI86" s="14"/>
      <c r="AJ86" s="14"/>
      <c r="AK86" s="14"/>
    </row>
    <row r="87" ht="12.75" customHeight="1">
      <c r="S87" s="14"/>
      <c r="T87" s="47"/>
      <c r="U87" s="47"/>
      <c r="V87" s="47"/>
      <c r="W87" s="47"/>
      <c r="X87" s="14"/>
      <c r="Y87" s="47"/>
      <c r="Z87" s="47"/>
      <c r="AA87" s="47"/>
      <c r="AB87" s="47"/>
      <c r="AC87" s="47"/>
      <c r="AD87" s="47"/>
      <c r="AE87" s="14"/>
      <c r="AF87" s="14"/>
      <c r="AG87" s="14"/>
      <c r="AH87" s="14"/>
      <c r="AI87" s="14"/>
      <c r="AJ87" s="14"/>
      <c r="AK87" s="14"/>
    </row>
    <row r="88" ht="12.75" customHeight="1">
      <c r="S88" s="14"/>
      <c r="T88" s="47"/>
      <c r="U88" s="47"/>
      <c r="V88" s="47"/>
      <c r="W88" s="47"/>
      <c r="X88" s="14"/>
      <c r="Y88" s="47"/>
      <c r="Z88" s="47"/>
      <c r="AA88" s="47"/>
      <c r="AB88" s="47"/>
      <c r="AC88" s="14"/>
      <c r="AD88" s="14"/>
      <c r="AE88" s="14"/>
      <c r="AF88" s="14"/>
      <c r="AG88" s="14"/>
      <c r="AH88" s="14"/>
      <c r="AI88" s="14"/>
      <c r="AJ88" s="14"/>
      <c r="AK88" s="14"/>
    </row>
    <row r="89" ht="12.75" customHeight="1">
      <c r="S89" s="14"/>
      <c r="T89" s="47"/>
      <c r="U89" s="47"/>
      <c r="V89" s="47"/>
      <c r="W89" s="47"/>
      <c r="X89" s="14"/>
      <c r="Y89" s="47"/>
      <c r="Z89" s="47"/>
      <c r="AA89" s="47"/>
      <c r="AB89" s="47"/>
      <c r="AC89" s="14"/>
      <c r="AD89" s="14"/>
      <c r="AE89" s="14"/>
      <c r="AF89" s="14"/>
      <c r="AG89" s="14"/>
      <c r="AH89" s="14"/>
      <c r="AI89" s="14"/>
      <c r="AJ89" s="14"/>
      <c r="AK89" s="14"/>
    </row>
    <row r="90" ht="12.75" customHeight="1">
      <c r="S90" s="14"/>
      <c r="T90" s="47"/>
      <c r="U90" s="47"/>
      <c r="V90" s="47"/>
      <c r="W90" s="47"/>
      <c r="X90" s="14"/>
      <c r="Y90" s="47"/>
      <c r="Z90" s="47"/>
      <c r="AA90" s="47"/>
      <c r="AB90" s="47"/>
      <c r="AC90" s="14"/>
      <c r="AD90" s="14"/>
      <c r="AE90" s="14"/>
      <c r="AF90" s="14"/>
      <c r="AG90" s="14"/>
      <c r="AH90" s="14"/>
      <c r="AI90" s="14"/>
      <c r="AJ90" s="14"/>
      <c r="AK90" s="14"/>
    </row>
    <row r="91" ht="12.75" customHeight="1">
      <c r="S91" s="14"/>
      <c r="T91" s="47"/>
      <c r="U91" s="47"/>
      <c r="V91" s="47"/>
      <c r="W91" s="47"/>
      <c r="X91" s="14"/>
      <c r="Y91" s="47"/>
      <c r="Z91" s="47"/>
      <c r="AA91" s="47"/>
      <c r="AB91" s="47"/>
      <c r="AC91" s="14"/>
      <c r="AD91" s="14"/>
      <c r="AE91" s="14"/>
      <c r="AF91" s="14"/>
      <c r="AG91" s="14"/>
      <c r="AH91" s="14"/>
      <c r="AI91" s="14"/>
      <c r="AJ91" s="14"/>
      <c r="AK91" s="14"/>
    </row>
    <row r="92" ht="12.75" customHeight="1">
      <c r="S92" s="14"/>
      <c r="T92" s="47"/>
      <c r="U92" s="47"/>
      <c r="V92" s="47"/>
      <c r="W92" s="47"/>
      <c r="X92" s="14"/>
      <c r="Y92" s="47"/>
      <c r="Z92" s="47"/>
      <c r="AA92" s="47"/>
      <c r="AB92" s="47"/>
      <c r="AC92" s="14"/>
      <c r="AD92" s="14"/>
      <c r="AE92" s="14"/>
      <c r="AF92" s="14"/>
      <c r="AG92" s="14"/>
      <c r="AH92" s="14"/>
      <c r="AI92" s="14"/>
      <c r="AJ92" s="14"/>
      <c r="AK92" s="14"/>
    </row>
    <row r="93" ht="12.75" customHeight="1">
      <c r="S93" s="14"/>
      <c r="T93" s="47"/>
      <c r="U93" s="47"/>
      <c r="V93" s="47"/>
      <c r="W93" s="47"/>
      <c r="X93" s="14"/>
      <c r="Y93" s="47"/>
      <c r="Z93" s="47"/>
      <c r="AA93" s="47"/>
      <c r="AB93" s="47"/>
      <c r="AC93" s="47"/>
      <c r="AD93" s="47"/>
      <c r="AE93" s="14"/>
      <c r="AF93" s="14"/>
      <c r="AG93" s="14"/>
      <c r="AH93" s="14"/>
      <c r="AI93" s="14"/>
      <c r="AJ93" s="14"/>
      <c r="AK93" s="14"/>
    </row>
    <row r="94" ht="12.75" customHeight="1">
      <c r="S94" s="14"/>
      <c r="T94" s="14"/>
      <c r="U94" s="47"/>
      <c r="V94" s="14"/>
      <c r="W94" s="14"/>
      <c r="X94" s="47"/>
      <c r="Y94" s="47"/>
      <c r="Z94" s="47"/>
      <c r="AA94" s="47"/>
      <c r="AB94" s="47"/>
      <c r="AC94" s="14"/>
      <c r="AD94" s="14"/>
      <c r="AE94" s="14"/>
      <c r="AF94" s="14"/>
      <c r="AG94" s="14"/>
      <c r="AH94" s="14"/>
      <c r="AI94" s="14"/>
      <c r="AJ94" s="14"/>
      <c r="AK94" s="14"/>
    </row>
    <row r="95" ht="12.75" customHeight="1">
      <c r="S95" s="14"/>
      <c r="T95" s="14"/>
      <c r="U95" s="47"/>
      <c r="V95" s="14"/>
      <c r="W95" s="14"/>
      <c r="X95" s="47"/>
      <c r="Y95" s="47"/>
      <c r="Z95" s="47"/>
      <c r="AA95" s="47"/>
      <c r="AB95" s="47"/>
      <c r="AC95" s="14"/>
      <c r="AD95" s="14"/>
      <c r="AE95" s="14"/>
      <c r="AF95" s="14"/>
      <c r="AG95" s="14"/>
      <c r="AH95" s="14"/>
      <c r="AI95" s="14"/>
      <c r="AJ95" s="14"/>
      <c r="AK95" s="14"/>
    </row>
    <row r="96" ht="12.75" customHeight="1">
      <c r="S96" s="14"/>
      <c r="T96" s="14"/>
      <c r="U96" s="47"/>
      <c r="V96" s="14"/>
      <c r="W96" s="14"/>
      <c r="X96" s="47"/>
      <c r="Y96" s="47"/>
      <c r="Z96" s="47"/>
      <c r="AA96" s="47"/>
      <c r="AB96" s="47"/>
      <c r="AC96" s="14"/>
      <c r="AD96" s="14"/>
      <c r="AE96" s="14"/>
      <c r="AF96" s="14"/>
      <c r="AG96" s="14"/>
      <c r="AH96" s="14"/>
      <c r="AI96" s="14"/>
      <c r="AJ96" s="14"/>
      <c r="AK96" s="14"/>
    </row>
    <row r="97" ht="12.75" customHeight="1">
      <c r="S97" s="14"/>
      <c r="T97" s="14"/>
      <c r="U97" s="14"/>
      <c r="V97" s="14"/>
      <c r="W97" s="14"/>
      <c r="X97" s="14"/>
      <c r="Y97" s="47"/>
      <c r="Z97" s="47"/>
      <c r="AA97" s="47"/>
      <c r="AB97" s="47"/>
      <c r="AC97" s="14"/>
      <c r="AD97" s="14"/>
      <c r="AE97" s="14"/>
      <c r="AF97" s="14"/>
      <c r="AG97" s="14"/>
      <c r="AH97" s="14"/>
      <c r="AI97" s="14"/>
      <c r="AJ97" s="14"/>
      <c r="AK97" s="14"/>
    </row>
    <row r="98" ht="12.75" customHeight="1">
      <c r="S98" s="14"/>
      <c r="T98" s="14"/>
      <c r="U98" s="47"/>
      <c r="V98" s="14"/>
      <c r="W98" s="14"/>
      <c r="X98" s="14"/>
      <c r="Y98" s="47"/>
      <c r="Z98" s="47"/>
      <c r="AA98" s="47"/>
      <c r="AB98" s="47"/>
      <c r="AC98" s="14"/>
      <c r="AD98" s="14"/>
      <c r="AE98" s="14"/>
      <c r="AF98" s="14"/>
      <c r="AG98" s="14"/>
      <c r="AH98" s="14"/>
      <c r="AI98" s="14"/>
      <c r="AJ98" s="14"/>
      <c r="AK98" s="14"/>
    </row>
    <row r="99" ht="12.75" customHeight="1">
      <c r="S99" s="14"/>
      <c r="T99" s="47"/>
      <c r="U99" s="47"/>
      <c r="V99" s="14"/>
      <c r="W99" s="14"/>
      <c r="X99" s="14"/>
      <c r="Y99" s="47"/>
      <c r="Z99" s="47"/>
      <c r="AA99" s="47"/>
      <c r="AB99" s="47"/>
      <c r="AC99" s="47"/>
      <c r="AD99" s="47"/>
      <c r="AE99" s="14"/>
      <c r="AF99" s="14"/>
      <c r="AG99" s="14"/>
      <c r="AH99" s="14"/>
      <c r="AI99" s="14"/>
      <c r="AJ99" s="14"/>
      <c r="AK99" s="14"/>
    </row>
    <row r="100" ht="12.75" customHeight="1">
      <c r="S100" s="14"/>
      <c r="T100" s="14"/>
      <c r="U100" s="14"/>
      <c r="V100" s="47"/>
      <c r="W100" s="47"/>
      <c r="X100" s="14"/>
      <c r="Y100" s="14"/>
      <c r="Z100" s="14"/>
      <c r="AA100" s="14"/>
      <c r="AB100" s="14"/>
      <c r="AC100" s="47"/>
      <c r="AD100" s="14"/>
      <c r="AE100" s="14"/>
      <c r="AF100" s="14"/>
      <c r="AG100" s="14"/>
      <c r="AH100" s="14"/>
      <c r="AI100" s="14"/>
      <c r="AJ100" s="14"/>
      <c r="AK100" s="14"/>
    </row>
    <row r="101" ht="12.75" customHeight="1">
      <c r="S101" s="14"/>
      <c r="T101" s="14"/>
      <c r="U101" s="14"/>
      <c r="V101" s="14"/>
      <c r="W101" s="14"/>
      <c r="X101" s="14"/>
      <c r="Y101" s="14"/>
      <c r="Z101" s="14"/>
      <c r="AA101" s="47"/>
      <c r="AB101" s="47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 ht="12.75" customHeight="1">
      <c r="S102" s="14"/>
      <c r="T102" s="14"/>
      <c r="U102" s="14"/>
      <c r="V102" s="14"/>
      <c r="W102" s="14"/>
      <c r="X102" s="14"/>
      <c r="Y102" s="14"/>
      <c r="Z102" s="14"/>
      <c r="AA102" s="47"/>
      <c r="AB102" s="47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 ht="12.75" customHeight="1">
      <c r="S103" s="14"/>
      <c r="T103" s="14"/>
      <c r="U103" s="14"/>
      <c r="V103" s="14"/>
      <c r="W103" s="14"/>
      <c r="X103" s="14"/>
      <c r="Y103" s="14"/>
      <c r="Z103" s="14"/>
      <c r="AA103" s="47"/>
      <c r="AB103" s="47"/>
      <c r="AC103" s="14"/>
      <c r="AD103" s="14"/>
      <c r="AE103" s="14"/>
      <c r="AF103" s="14"/>
      <c r="AG103" s="14"/>
      <c r="AH103" s="14"/>
      <c r="AI103" s="14"/>
      <c r="AJ103" s="14"/>
      <c r="AK103" s="14"/>
    </row>
    <row r="104" ht="12.75" customHeight="1">
      <c r="S104" s="14"/>
      <c r="T104" s="47"/>
      <c r="U104" s="14"/>
      <c r="V104" s="14"/>
      <c r="W104" s="14"/>
      <c r="X104" s="14"/>
      <c r="Y104" s="47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 ht="12.75" customHeight="1">
      <c r="S105" s="14"/>
      <c r="T105" s="47"/>
      <c r="U105" s="47"/>
      <c r="V105" s="14"/>
      <c r="W105" s="14"/>
      <c r="X105" s="14"/>
      <c r="Y105" s="47"/>
      <c r="Z105" s="47"/>
      <c r="AA105" s="14"/>
      <c r="AB105" s="14"/>
      <c r="AC105" s="47"/>
      <c r="AD105" s="47"/>
      <c r="AE105" s="14"/>
      <c r="AF105" s="14"/>
      <c r="AG105" s="14"/>
      <c r="AH105" s="14"/>
      <c r="AI105" s="14"/>
      <c r="AJ105" s="14"/>
      <c r="AK105" s="14"/>
    </row>
    <row r="106" ht="12.75" customHeight="1">
      <c r="S106" s="14"/>
      <c r="T106" s="47"/>
      <c r="U106" s="47"/>
      <c r="V106" s="14"/>
      <c r="W106" s="14"/>
      <c r="X106" s="47"/>
      <c r="Y106" s="47"/>
      <c r="Z106" s="47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 ht="12.75" customHeight="1">
      <c r="S107" s="14"/>
      <c r="T107" s="47"/>
      <c r="U107" s="47"/>
      <c r="V107" s="14"/>
      <c r="W107" s="14"/>
      <c r="X107" s="14"/>
      <c r="Y107" s="47"/>
      <c r="Z107" s="47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</row>
    <row r="108" ht="12.75" customHeight="1">
      <c r="S108" s="14"/>
      <c r="T108" s="47"/>
      <c r="U108" s="47"/>
      <c r="V108" s="14"/>
      <c r="W108" s="14"/>
      <c r="X108" s="14"/>
      <c r="Y108" s="47"/>
      <c r="Z108" s="47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 ht="12.75" customHeight="1">
      <c r="S109" s="14"/>
      <c r="T109" s="47"/>
      <c r="U109" s="47"/>
      <c r="V109" s="14"/>
      <c r="W109" s="14"/>
      <c r="X109" s="14"/>
      <c r="Y109" s="47"/>
      <c r="Z109" s="47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</row>
    <row r="110" ht="12.75" customHeight="1">
      <c r="S110" s="14"/>
      <c r="T110" s="47"/>
      <c r="U110" s="47"/>
      <c r="V110" s="14"/>
      <c r="W110" s="14"/>
      <c r="X110" s="14"/>
      <c r="Y110" s="47"/>
      <c r="Z110" s="47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 ht="12.75" customHeight="1">
      <c r="S111" s="14"/>
      <c r="T111" s="47"/>
      <c r="U111" s="47"/>
      <c r="V111" s="14"/>
      <c r="W111" s="14"/>
      <c r="X111" s="14"/>
      <c r="Y111" s="47"/>
      <c r="Z111" s="47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 ht="12.75" customHeight="1">
      <c r="S112" s="14"/>
      <c r="T112" s="47"/>
      <c r="U112" s="47"/>
      <c r="V112" s="14"/>
      <c r="W112" s="14"/>
      <c r="X112" s="14"/>
      <c r="Y112" s="47"/>
      <c r="Z112" s="47"/>
      <c r="AA112" s="14"/>
      <c r="AB112" s="14"/>
      <c r="AC112" s="47"/>
      <c r="AD112" s="47"/>
      <c r="AE112" s="14"/>
      <c r="AF112" s="14"/>
      <c r="AG112" s="14"/>
      <c r="AH112" s="14"/>
      <c r="AI112" s="14"/>
      <c r="AJ112" s="14"/>
      <c r="AK112" s="14"/>
    </row>
    <row r="113" ht="12.75" customHeight="1">
      <c r="S113" s="14"/>
      <c r="T113" s="47"/>
      <c r="U113" s="47"/>
      <c r="V113" s="14"/>
      <c r="W113" s="14"/>
      <c r="X113" s="14"/>
      <c r="Y113" s="47"/>
      <c r="Z113" s="47"/>
      <c r="AA113" s="14"/>
      <c r="AB113" s="14"/>
      <c r="AC113" s="14"/>
      <c r="AD113" s="47"/>
      <c r="AE113" s="14"/>
      <c r="AF113" s="14"/>
      <c r="AG113" s="14"/>
      <c r="AH113" s="14"/>
      <c r="AI113" s="14"/>
      <c r="AJ113" s="14"/>
      <c r="AK113" s="14"/>
    </row>
    <row r="114" ht="12.75" customHeight="1">
      <c r="S114" s="14"/>
      <c r="T114" s="47"/>
      <c r="U114" s="47"/>
      <c r="V114" s="14"/>
      <c r="W114" s="14"/>
      <c r="X114" s="47"/>
      <c r="Y114" s="47"/>
      <c r="Z114" s="47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 ht="12.75" customHeight="1">
      <c r="S115" s="14"/>
      <c r="T115" s="47"/>
      <c r="U115" s="47"/>
      <c r="V115" s="14"/>
      <c r="W115" s="14"/>
      <c r="X115" s="14"/>
      <c r="Y115" s="47"/>
      <c r="Z115" s="47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</row>
    <row r="116" ht="12.75" customHeight="1">
      <c r="S116" s="14"/>
      <c r="T116" s="47"/>
      <c r="U116" s="47"/>
      <c r="V116" s="14"/>
      <c r="W116" s="14"/>
      <c r="X116" s="14"/>
      <c r="Y116" s="47"/>
      <c r="Z116" s="47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</row>
    <row r="117" ht="12.75" customHeight="1">
      <c r="S117" s="14"/>
      <c r="T117" s="47"/>
      <c r="U117" s="47"/>
      <c r="V117" s="14"/>
      <c r="W117" s="14"/>
      <c r="X117" s="14"/>
      <c r="Y117" s="47"/>
      <c r="Z117" s="47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</row>
    <row r="118" ht="12.75" customHeight="1">
      <c r="S118" s="14"/>
      <c r="T118" s="47"/>
      <c r="U118" s="47"/>
      <c r="V118" s="14"/>
      <c r="W118" s="14"/>
      <c r="X118" s="14"/>
      <c r="Y118" s="47"/>
      <c r="Z118" s="47"/>
      <c r="AA118" s="14"/>
      <c r="AB118" s="14"/>
      <c r="AC118" s="47"/>
      <c r="AD118" s="47"/>
      <c r="AE118" s="14"/>
      <c r="AF118" s="14"/>
      <c r="AG118" s="14"/>
      <c r="AH118" s="14"/>
      <c r="AI118" s="14"/>
      <c r="AJ118" s="14"/>
      <c r="AK118" s="14"/>
    </row>
    <row r="119" ht="12.75" customHeight="1">
      <c r="S119" s="14"/>
      <c r="T119" s="14"/>
      <c r="U119" s="14"/>
      <c r="V119" s="47"/>
      <c r="W119" s="47"/>
      <c r="X119" s="47"/>
      <c r="Y119" s="47"/>
      <c r="Z119" s="47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</row>
    <row r="120" ht="12.75" customHeight="1">
      <c r="S120" s="14"/>
      <c r="T120" s="14"/>
      <c r="U120" s="14"/>
      <c r="V120" s="14"/>
      <c r="W120" s="14"/>
      <c r="X120" s="14"/>
      <c r="Y120" s="47"/>
      <c r="Z120" s="47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 ht="12.75" customHeight="1">
      <c r="S121" s="14"/>
      <c r="T121" s="14"/>
      <c r="U121" s="14"/>
      <c r="V121" s="14"/>
      <c r="W121" s="14"/>
      <c r="X121" s="14"/>
      <c r="Y121" s="47"/>
      <c r="Z121" s="47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</row>
    <row r="122" ht="12.75" customHeight="1">
      <c r="S122" s="14"/>
      <c r="T122" s="14"/>
      <c r="U122" s="14"/>
      <c r="V122" s="14"/>
      <c r="W122" s="14"/>
      <c r="X122" s="14"/>
      <c r="Y122" s="47"/>
      <c r="Z122" s="47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</row>
    <row r="123" ht="12.75" customHeight="1">
      <c r="S123" s="14"/>
      <c r="T123" s="14"/>
      <c r="U123" s="14"/>
      <c r="V123" s="14"/>
      <c r="W123" s="14"/>
      <c r="X123" s="14"/>
      <c r="Y123" s="47"/>
      <c r="Z123" s="47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</row>
    <row r="124" ht="12.75" customHeight="1">
      <c r="S124" s="14"/>
      <c r="T124" s="14"/>
      <c r="U124" s="14"/>
      <c r="V124" s="14"/>
      <c r="W124" s="14"/>
      <c r="X124" s="14"/>
      <c r="Y124" s="47"/>
      <c r="Z124" s="47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</row>
    <row r="125" ht="12.75" customHeight="1">
      <c r="S125" s="14"/>
      <c r="T125" s="47"/>
      <c r="U125" s="47"/>
      <c r="V125" s="14"/>
      <c r="W125" s="14"/>
      <c r="X125" s="14"/>
      <c r="Y125" s="47"/>
      <c r="Z125" s="47"/>
      <c r="AA125" s="14"/>
      <c r="AB125" s="14"/>
      <c r="AC125" s="47"/>
      <c r="AD125" s="47"/>
      <c r="AE125" s="14"/>
      <c r="AF125" s="14"/>
      <c r="AG125" s="14"/>
      <c r="AH125" s="14"/>
      <c r="AI125" s="14"/>
      <c r="AJ125" s="14"/>
      <c r="AK125" s="14"/>
    </row>
    <row r="126" ht="12.75" customHeight="1">
      <c r="S126" s="14"/>
      <c r="T126" s="14"/>
      <c r="U126" s="47"/>
      <c r="V126" s="14"/>
      <c r="W126" s="14"/>
      <c r="X126" s="14"/>
      <c r="Y126" s="47"/>
      <c r="Z126" s="47"/>
      <c r="AA126" s="14"/>
      <c r="AB126" s="14"/>
      <c r="AC126" s="14"/>
      <c r="AD126" s="47"/>
      <c r="AE126" s="14"/>
      <c r="AF126" s="14"/>
      <c r="AG126" s="14"/>
      <c r="AH126" s="14"/>
      <c r="AI126" s="14"/>
      <c r="AJ126" s="14"/>
      <c r="AK126" s="14"/>
    </row>
    <row r="127" ht="12.75" customHeight="1">
      <c r="S127" s="14"/>
      <c r="T127" s="14"/>
      <c r="U127" s="47"/>
      <c r="V127" s="14"/>
      <c r="W127" s="14"/>
      <c r="X127" s="47"/>
      <c r="Y127" s="47"/>
      <c r="Z127" s="47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</row>
    <row r="128" ht="12.75" customHeight="1">
      <c r="S128" s="14"/>
      <c r="T128" s="14"/>
      <c r="U128" s="14"/>
      <c r="V128" s="14"/>
      <c r="W128" s="14"/>
      <c r="X128" s="47"/>
      <c r="Y128" s="47"/>
      <c r="Z128" s="47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 ht="12.75" customHeight="1">
      <c r="S129" s="14"/>
      <c r="T129" s="14"/>
      <c r="U129" s="14"/>
      <c r="V129" s="14"/>
      <c r="W129" s="14"/>
      <c r="X129" s="14"/>
      <c r="Y129" s="47"/>
      <c r="Z129" s="47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 ht="12.75" customHeight="1">
      <c r="S130" s="14"/>
      <c r="T130" s="14"/>
      <c r="U130" s="14"/>
      <c r="V130" s="14"/>
      <c r="W130" s="14"/>
      <c r="X130" s="14"/>
      <c r="Y130" s="47"/>
      <c r="Z130" s="47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</row>
    <row r="131" ht="12.75" customHeight="1">
      <c r="S131" s="14"/>
      <c r="T131" s="14"/>
      <c r="U131" s="14"/>
      <c r="V131" s="14"/>
      <c r="W131" s="14"/>
      <c r="X131" s="14"/>
      <c r="Y131" s="47"/>
      <c r="Z131" s="47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</row>
    <row r="132" ht="12.75" customHeight="1">
      <c r="S132" s="14"/>
      <c r="T132" s="14"/>
      <c r="U132" s="47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</row>
    <row r="133" ht="12.75" customHeight="1">
      <c r="S133" s="14"/>
      <c r="T133" s="47"/>
      <c r="U133" s="47"/>
      <c r="V133" s="47"/>
      <c r="W133" s="47"/>
      <c r="X133" s="47"/>
      <c r="Y133" s="14"/>
      <c r="Z133" s="14"/>
      <c r="AA133" s="47"/>
      <c r="AB133" s="47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 ht="12.75" customHeight="1">
      <c r="S134" s="14"/>
      <c r="T134" s="14"/>
      <c r="U134" s="47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</row>
    <row r="135" ht="12.75" customHeight="1"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 ht="12.75" customHeight="1"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 ht="12.75" customHeight="1"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</row>
    <row r="138" ht="12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 ht="12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 ht="12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</row>
    <row r="141" ht="12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</row>
    <row r="142" ht="12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 ht="12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 ht="12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</row>
    <row r="145" ht="12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</row>
    <row r="146" ht="12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</row>
    <row r="147" ht="12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</row>
    <row r="148" ht="12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</row>
    <row r="149" ht="12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</row>
    <row r="150" ht="12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</row>
    <row r="151" ht="12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</row>
    <row r="152" ht="12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</row>
    <row r="153" ht="12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</row>
    <row r="154" ht="12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</row>
    <row r="155" ht="12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</row>
    <row r="156" ht="12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</row>
    <row r="157" ht="12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</row>
    <row r="158" ht="12.75" customHeight="1">
      <c r="A158" s="14"/>
      <c r="B158" s="14"/>
      <c r="C158" s="14"/>
      <c r="D158" s="14" t="s">
        <v>23</v>
      </c>
      <c r="E158" s="62" t="s">
        <v>12</v>
      </c>
      <c r="F158" s="62" t="s">
        <v>13</v>
      </c>
      <c r="G158" s="62" t="s">
        <v>14</v>
      </c>
      <c r="H158" s="62" t="s">
        <v>15</v>
      </c>
      <c r="I158" s="62" t="s">
        <v>16</v>
      </c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</row>
    <row r="159" ht="12.75" customHeight="1">
      <c r="A159" s="14"/>
      <c r="B159" s="14"/>
      <c r="C159" s="14"/>
      <c r="D159" s="63"/>
      <c r="E159" s="63"/>
      <c r="F159" s="64"/>
      <c r="G159" s="63"/>
      <c r="H159" s="63"/>
      <c r="I159" s="63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</row>
    <row r="160" ht="12.75" customHeight="1">
      <c r="A160" s="14"/>
      <c r="B160" s="14"/>
      <c r="C160" s="14"/>
      <c r="D160" s="65">
        <v>10.0</v>
      </c>
      <c r="E160" s="63"/>
      <c r="F160" s="66">
        <v>2.2</v>
      </c>
      <c r="G160" s="65">
        <v>2.49</v>
      </c>
      <c r="H160" s="65">
        <v>2.41</v>
      </c>
      <c r="I160" s="63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</row>
    <row r="161" ht="12.75" customHeight="1">
      <c r="A161" s="14"/>
      <c r="B161" s="14"/>
      <c r="C161" s="14"/>
      <c r="D161" s="65">
        <v>15.0</v>
      </c>
      <c r="E161" s="63"/>
      <c r="F161" s="66">
        <v>2.3</v>
      </c>
      <c r="G161" s="65">
        <v>2.54</v>
      </c>
      <c r="H161" s="65">
        <v>2.47</v>
      </c>
      <c r="I161" s="63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</row>
    <row r="162" ht="12.75" customHeight="1">
      <c r="A162" s="14"/>
      <c r="B162" s="14"/>
      <c r="C162" s="14"/>
      <c r="D162" s="63">
        <v>20.0</v>
      </c>
      <c r="E162" s="63"/>
      <c r="F162" s="64">
        <v>2.4</v>
      </c>
      <c r="G162" s="63">
        <v>2.59</v>
      </c>
      <c r="H162" s="63">
        <v>2.53</v>
      </c>
      <c r="I162" s="63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</row>
    <row r="163" ht="12.75" customHeight="1">
      <c r="A163" s="14"/>
      <c r="B163" s="14"/>
      <c r="C163" s="14"/>
      <c r="D163" s="47">
        <v>25.0</v>
      </c>
      <c r="E163" s="14"/>
      <c r="F163" s="66">
        <v>2.45</v>
      </c>
      <c r="G163" s="47">
        <v>2.64</v>
      </c>
      <c r="H163" s="47">
        <v>2.59</v>
      </c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</row>
    <row r="164" ht="12.75" customHeight="1">
      <c r="A164" s="14"/>
      <c r="B164" s="14"/>
      <c r="C164" s="14"/>
      <c r="D164" s="47">
        <v>30.0</v>
      </c>
      <c r="E164" s="14"/>
      <c r="F164" s="66">
        <v>2.5</v>
      </c>
      <c r="G164" s="47">
        <v>2.69</v>
      </c>
      <c r="H164" s="47">
        <v>2.67</v>
      </c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 ht="12.75" customHeight="1">
      <c r="A165" s="14"/>
      <c r="B165" s="14"/>
      <c r="C165" s="14"/>
      <c r="D165" s="47">
        <v>35.0</v>
      </c>
      <c r="E165" s="14"/>
      <c r="F165" s="66">
        <v>2.55</v>
      </c>
      <c r="G165" s="47">
        <v>2.74</v>
      </c>
      <c r="H165" s="47">
        <v>2.76</v>
      </c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</row>
    <row r="166" ht="12.75" customHeight="1">
      <c r="A166" s="14"/>
      <c r="B166" s="14"/>
      <c r="C166" s="14"/>
      <c r="D166" s="14">
        <v>40.0</v>
      </c>
      <c r="E166" s="14"/>
      <c r="F166" s="67">
        <v>2.6</v>
      </c>
      <c r="G166" s="14">
        <v>2.78</v>
      </c>
      <c r="H166" s="14">
        <v>2.82</v>
      </c>
      <c r="I166" s="14"/>
      <c r="J166" s="14"/>
      <c r="K166" s="62"/>
      <c r="L166" s="62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</row>
    <row r="167" ht="12.75" customHeight="1">
      <c r="A167" s="14"/>
      <c r="B167" s="14"/>
      <c r="C167" s="14"/>
      <c r="D167" s="65">
        <v>45.0</v>
      </c>
      <c r="E167" s="63"/>
      <c r="F167" s="66">
        <v>2.62</v>
      </c>
      <c r="G167" s="65">
        <v>2.82</v>
      </c>
      <c r="H167" s="65">
        <v>2.9</v>
      </c>
      <c r="I167" s="63"/>
      <c r="J167" s="14"/>
      <c r="K167" s="62"/>
      <c r="L167" s="62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</row>
    <row r="168" ht="12.75" customHeight="1">
      <c r="A168" s="14"/>
      <c r="B168" s="14"/>
      <c r="C168" s="14"/>
      <c r="D168" s="65">
        <v>50.0</v>
      </c>
      <c r="E168" s="63"/>
      <c r="F168" s="66">
        <v>2.65</v>
      </c>
      <c r="G168" s="65">
        <v>2.85</v>
      </c>
      <c r="H168" s="65">
        <v>2.98</v>
      </c>
      <c r="I168" s="63"/>
      <c r="J168" s="14"/>
      <c r="K168" s="62"/>
      <c r="L168" s="62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</row>
    <row r="169" ht="12.75" customHeight="1">
      <c r="A169" s="14"/>
      <c r="B169" s="14"/>
      <c r="C169" s="14"/>
      <c r="D169" s="65">
        <v>55.0</v>
      </c>
      <c r="E169" s="63"/>
      <c r="F169" s="66">
        <v>2.67</v>
      </c>
      <c r="G169" s="65">
        <v>2.88</v>
      </c>
      <c r="H169" s="65">
        <v>3.07</v>
      </c>
      <c r="I169" s="63"/>
      <c r="J169" s="14"/>
      <c r="K169" s="62"/>
      <c r="L169" s="62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</row>
    <row r="170" ht="12.75" customHeight="1">
      <c r="A170" s="14"/>
      <c r="B170" s="14"/>
      <c r="C170" s="14"/>
      <c r="D170" s="63">
        <v>60.0</v>
      </c>
      <c r="E170" s="63"/>
      <c r="F170" s="64">
        <v>2.7</v>
      </c>
      <c r="G170" s="63">
        <v>2.91</v>
      </c>
      <c r="H170" s="63">
        <v>3.15</v>
      </c>
      <c r="I170" s="63"/>
      <c r="J170" s="14"/>
      <c r="K170" s="62" t="s">
        <v>23</v>
      </c>
      <c r="L170" s="62" t="s">
        <v>24</v>
      </c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</row>
    <row r="171" ht="12.75" customHeight="1">
      <c r="A171" s="14"/>
      <c r="B171" s="14"/>
      <c r="C171" s="14"/>
      <c r="D171" s="47">
        <v>65.0</v>
      </c>
      <c r="E171" s="14"/>
      <c r="F171" s="47">
        <v>2.72</v>
      </c>
      <c r="G171" s="47">
        <v>2.92</v>
      </c>
      <c r="H171" s="47">
        <v>3.17</v>
      </c>
      <c r="I171" s="14"/>
      <c r="J171" s="14"/>
      <c r="K171" s="68"/>
      <c r="L171" s="68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</row>
    <row r="172" ht="12.75" customHeight="1">
      <c r="A172" s="14"/>
      <c r="B172" s="14"/>
      <c r="C172" s="14"/>
      <c r="D172" s="47">
        <v>70.0</v>
      </c>
      <c r="E172" s="14"/>
      <c r="F172" s="47">
        <v>2.73</v>
      </c>
      <c r="G172" s="47">
        <v>2.93</v>
      </c>
      <c r="H172" s="47">
        <v>3.19</v>
      </c>
      <c r="I172" s="14"/>
      <c r="J172" s="14"/>
      <c r="K172" s="68"/>
      <c r="L172" s="68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</row>
    <row r="173" ht="12.75" customHeight="1">
      <c r="A173" s="14"/>
      <c r="B173" s="14"/>
      <c r="C173" s="14"/>
      <c r="D173" s="47">
        <v>75.0</v>
      </c>
      <c r="E173" s="14"/>
      <c r="F173" s="47">
        <v>2.74</v>
      </c>
      <c r="G173" s="47">
        <v>2.95</v>
      </c>
      <c r="H173" s="47">
        <v>3.22</v>
      </c>
      <c r="I173" s="14"/>
      <c r="J173" s="14"/>
      <c r="K173" s="68"/>
      <c r="L173" s="68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 ht="12.75" customHeight="1">
      <c r="A174" s="14"/>
      <c r="B174" s="14"/>
      <c r="C174" s="14"/>
      <c r="D174" s="14">
        <v>80.0</v>
      </c>
      <c r="E174" s="14"/>
      <c r="F174" s="14">
        <v>2.75</v>
      </c>
      <c r="G174" s="14">
        <v>2.96</v>
      </c>
      <c r="H174" s="14">
        <v>3.24</v>
      </c>
      <c r="I174" s="14"/>
      <c r="J174" s="62"/>
      <c r="K174" s="68">
        <v>1.0</v>
      </c>
      <c r="L174" s="68">
        <v>1.0</v>
      </c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</row>
    <row r="175" ht="12.75" customHeight="1">
      <c r="A175" s="14"/>
      <c r="B175" s="14"/>
      <c r="C175" s="14"/>
      <c r="D175" s="65">
        <v>85.0</v>
      </c>
      <c r="E175" s="63"/>
      <c r="F175" s="66">
        <v>2.77</v>
      </c>
      <c r="G175" s="65">
        <v>2.97</v>
      </c>
      <c r="H175" s="65">
        <v>3.24</v>
      </c>
      <c r="I175" s="64"/>
      <c r="J175" s="14"/>
      <c r="K175" s="63"/>
      <c r="L175" s="63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</row>
    <row r="176" ht="12.75" customHeight="1">
      <c r="A176" s="14"/>
      <c r="B176" s="14"/>
      <c r="C176" s="14"/>
      <c r="D176" s="65">
        <v>90.0</v>
      </c>
      <c r="E176" s="63"/>
      <c r="F176" s="66">
        <v>2.78</v>
      </c>
      <c r="G176" s="65">
        <v>2.99</v>
      </c>
      <c r="H176" s="65">
        <v>3.23</v>
      </c>
      <c r="I176" s="64"/>
      <c r="J176" s="14"/>
      <c r="K176" s="63"/>
      <c r="L176" s="63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</row>
    <row r="177" ht="12.75" customHeight="1">
      <c r="A177" s="14"/>
      <c r="B177" s="14"/>
      <c r="C177" s="14"/>
      <c r="D177" s="65">
        <v>95.0</v>
      </c>
      <c r="E177" s="63"/>
      <c r="F177" s="66">
        <v>2.79</v>
      </c>
      <c r="G177" s="65">
        <v>3.01</v>
      </c>
      <c r="H177" s="65">
        <v>3.23</v>
      </c>
      <c r="I177" s="64"/>
      <c r="J177" s="14"/>
      <c r="K177" s="63"/>
      <c r="L177" s="63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</row>
    <row r="178" ht="12.75" customHeight="1">
      <c r="A178" s="14"/>
      <c r="B178" s="14"/>
      <c r="C178" s="14"/>
      <c r="D178" s="63">
        <v>100.0</v>
      </c>
      <c r="E178" s="63">
        <v>2.92</v>
      </c>
      <c r="F178" s="64">
        <v>2.8</v>
      </c>
      <c r="G178" s="63">
        <v>3.02</v>
      </c>
      <c r="H178" s="63">
        <v>3.23</v>
      </c>
      <c r="I178" s="64">
        <v>3.8</v>
      </c>
      <c r="J178" s="14"/>
      <c r="K178" s="63">
        <v>3.0</v>
      </c>
      <c r="L178" s="63">
        <v>1.04</v>
      </c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 ht="12.75" customHeight="1">
      <c r="A179" s="14"/>
      <c r="B179" s="14"/>
      <c r="C179" s="14"/>
      <c r="D179" s="47">
        <v>105.0</v>
      </c>
      <c r="E179" s="47">
        <v>2.93</v>
      </c>
      <c r="F179" s="47">
        <v>2.81</v>
      </c>
      <c r="G179" s="47">
        <v>3.03</v>
      </c>
      <c r="H179" s="47">
        <v>3.23</v>
      </c>
      <c r="I179" s="64">
        <v>3.8</v>
      </c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 ht="12.75" customHeight="1">
      <c r="A180" s="14"/>
      <c r="B180" s="14"/>
      <c r="C180" s="14"/>
      <c r="D180" s="47">
        <v>110.0</v>
      </c>
      <c r="E180" s="47">
        <v>2.95</v>
      </c>
      <c r="F180" s="47">
        <v>2.83</v>
      </c>
      <c r="G180" s="47">
        <v>3.04</v>
      </c>
      <c r="H180" s="47">
        <v>3.22</v>
      </c>
      <c r="I180" s="64">
        <v>3.8</v>
      </c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 ht="12.75" customHeight="1">
      <c r="A181" s="14"/>
      <c r="B181" s="14"/>
      <c r="C181" s="14"/>
      <c r="D181" s="14">
        <v>115.0</v>
      </c>
      <c r="E181" s="47">
        <v>2.97</v>
      </c>
      <c r="F181" s="47">
        <v>2.84</v>
      </c>
      <c r="G181" s="47">
        <v>3.06</v>
      </c>
      <c r="H181" s="47">
        <v>3.21</v>
      </c>
      <c r="I181" s="64">
        <v>3.8</v>
      </c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 ht="12.75" customHeight="1">
      <c r="A182" s="14"/>
      <c r="B182" s="14"/>
      <c r="C182" s="14"/>
      <c r="D182" s="47">
        <v>120.0</v>
      </c>
      <c r="E182" s="14">
        <v>2.99</v>
      </c>
      <c r="F182" s="14">
        <v>2.85</v>
      </c>
      <c r="G182" s="14">
        <v>3.08</v>
      </c>
      <c r="H182" s="14">
        <v>3.21</v>
      </c>
      <c r="I182" s="14">
        <v>3.78</v>
      </c>
      <c r="J182" s="14"/>
      <c r="K182" s="14">
        <v>4.0</v>
      </c>
      <c r="L182" s="14">
        <v>1.13</v>
      </c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 ht="12.75" customHeight="1">
      <c r="A183" s="14"/>
      <c r="B183" s="14"/>
      <c r="C183" s="14"/>
      <c r="D183" s="14">
        <v>125.0</v>
      </c>
      <c r="E183" s="65">
        <v>2.99</v>
      </c>
      <c r="F183" s="65">
        <v>2.86</v>
      </c>
      <c r="G183" s="65">
        <v>3.09</v>
      </c>
      <c r="H183" s="65">
        <v>3.21</v>
      </c>
      <c r="I183" s="14">
        <v>3.78</v>
      </c>
      <c r="J183" s="14"/>
      <c r="K183" s="63"/>
      <c r="L183" s="63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 ht="12.75" customHeight="1">
      <c r="A184" s="14"/>
      <c r="B184" s="14"/>
      <c r="C184" s="14"/>
      <c r="D184" s="65">
        <v>130.0</v>
      </c>
      <c r="E184" s="65">
        <v>2.97</v>
      </c>
      <c r="F184" s="65">
        <v>2.88</v>
      </c>
      <c r="G184" s="65">
        <v>3.11</v>
      </c>
      <c r="H184" s="65">
        <v>3.21</v>
      </c>
      <c r="I184" s="14">
        <v>3.78</v>
      </c>
      <c r="J184" s="14"/>
      <c r="K184" s="63"/>
      <c r="L184" s="63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 ht="12.75" customHeight="1">
      <c r="A185" s="14"/>
      <c r="B185" s="14"/>
      <c r="C185" s="14"/>
      <c r="D185" s="65">
        <v>135.0</v>
      </c>
      <c r="E185" s="65">
        <v>2.97</v>
      </c>
      <c r="F185" s="65">
        <v>2.9</v>
      </c>
      <c r="G185" s="65">
        <v>3.13</v>
      </c>
      <c r="H185" s="65">
        <v>3.22</v>
      </c>
      <c r="I185" s="14">
        <v>3.78</v>
      </c>
      <c r="J185" s="14"/>
      <c r="K185" s="63"/>
      <c r="L185" s="63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 ht="12.75" customHeight="1">
      <c r="A186" s="14"/>
      <c r="B186" s="14"/>
      <c r="C186" s="14"/>
      <c r="D186" s="65">
        <v>140.0</v>
      </c>
      <c r="E186" s="63">
        <v>2.97</v>
      </c>
      <c r="F186" s="63">
        <v>2.91</v>
      </c>
      <c r="G186" s="63">
        <v>3.15</v>
      </c>
      <c r="H186" s="63">
        <v>3.22</v>
      </c>
      <c r="I186" s="63">
        <v>3.8</v>
      </c>
      <c r="J186" s="14"/>
      <c r="K186" s="63">
        <v>5.0</v>
      </c>
      <c r="L186" s="63">
        <v>1.23</v>
      </c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</row>
    <row r="187" ht="12.75" customHeight="1">
      <c r="A187" s="14"/>
      <c r="B187" s="14"/>
      <c r="C187" s="14"/>
      <c r="D187" s="63">
        <v>145.0</v>
      </c>
      <c r="E187" s="47">
        <v>2.97</v>
      </c>
      <c r="F187" s="47">
        <v>2.93</v>
      </c>
      <c r="G187" s="47">
        <v>3.17</v>
      </c>
      <c r="H187" s="47">
        <v>3.23</v>
      </c>
      <c r="I187" s="63">
        <v>3.8</v>
      </c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 ht="12.75" customHeight="1">
      <c r="A188" s="14"/>
      <c r="B188" s="14"/>
      <c r="C188" s="14"/>
      <c r="D188" s="47">
        <v>150.0</v>
      </c>
      <c r="E188" s="47">
        <v>2.99</v>
      </c>
      <c r="F188" s="47">
        <v>2.95</v>
      </c>
      <c r="G188" s="47">
        <v>3.19</v>
      </c>
      <c r="H188" s="47">
        <v>3.25</v>
      </c>
      <c r="I188" s="63">
        <v>3.8</v>
      </c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 ht="12.75" customHeight="1">
      <c r="A189" s="14"/>
      <c r="B189" s="14"/>
      <c r="C189" s="14"/>
      <c r="D189" s="47">
        <v>155.0</v>
      </c>
      <c r="E189" s="47">
        <v>2.99</v>
      </c>
      <c r="F189" s="47">
        <v>2.97</v>
      </c>
      <c r="G189" s="47">
        <v>3.21</v>
      </c>
      <c r="H189" s="47">
        <v>3.26</v>
      </c>
      <c r="I189" s="63">
        <v>3.8</v>
      </c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 ht="12.75" customHeight="1">
      <c r="A190" s="14"/>
      <c r="B190" s="14"/>
      <c r="C190" s="14"/>
      <c r="D190" s="14">
        <v>160.0</v>
      </c>
      <c r="E190" s="14">
        <v>2.99</v>
      </c>
      <c r="F190" s="14">
        <v>2.98</v>
      </c>
      <c r="G190" s="14">
        <v>3.23</v>
      </c>
      <c r="H190" s="14">
        <v>3.28</v>
      </c>
      <c r="I190" s="14">
        <v>3.81</v>
      </c>
      <c r="J190" s="14"/>
      <c r="K190" s="14">
        <v>6.0</v>
      </c>
      <c r="L190" s="14">
        <v>1.34</v>
      </c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</row>
    <row r="191" ht="12.75" customHeight="1">
      <c r="A191" s="14"/>
      <c r="B191" s="14"/>
      <c r="C191" s="14"/>
      <c r="D191" s="47">
        <v>165.0</v>
      </c>
      <c r="E191" s="65">
        <v>3.01</v>
      </c>
      <c r="F191" s="65">
        <v>3.0</v>
      </c>
      <c r="G191" s="65">
        <v>3.25</v>
      </c>
      <c r="H191" s="66">
        <v>3.3</v>
      </c>
      <c r="I191" s="14">
        <v>3.81</v>
      </c>
      <c r="J191" s="14"/>
      <c r="K191" s="63"/>
      <c r="L191" s="63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 ht="12.75" customHeight="1">
      <c r="A192" s="14"/>
      <c r="B192" s="14"/>
      <c r="C192" s="14"/>
      <c r="D192" s="14">
        <v>170.0</v>
      </c>
      <c r="E192" s="65">
        <v>3.02</v>
      </c>
      <c r="F192" s="65">
        <v>3.03</v>
      </c>
      <c r="G192" s="65">
        <v>3.27</v>
      </c>
      <c r="H192" s="66">
        <v>3.33</v>
      </c>
      <c r="I192" s="14">
        <v>3.81</v>
      </c>
      <c r="J192" s="14"/>
      <c r="K192" s="63"/>
      <c r="L192" s="63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</row>
    <row r="193" ht="12.75" customHeight="1">
      <c r="A193" s="14"/>
      <c r="B193" s="14"/>
      <c r="C193" s="14"/>
      <c r="D193" s="65">
        <v>175.0</v>
      </c>
      <c r="E193" s="65">
        <v>3.04</v>
      </c>
      <c r="F193" s="65">
        <v>3.06</v>
      </c>
      <c r="G193" s="65">
        <v>3.29</v>
      </c>
      <c r="H193" s="66">
        <v>3.36</v>
      </c>
      <c r="I193" s="65">
        <v>3.81</v>
      </c>
      <c r="J193" s="14"/>
      <c r="K193" s="63"/>
      <c r="L193" s="63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 ht="12.75" customHeight="1">
      <c r="A194" s="14"/>
      <c r="B194" s="14"/>
      <c r="C194" s="14"/>
      <c r="D194" s="65">
        <v>180.0</v>
      </c>
      <c r="E194" s="63">
        <v>3.05</v>
      </c>
      <c r="F194" s="63">
        <v>3.08</v>
      </c>
      <c r="G194" s="63">
        <v>3.31</v>
      </c>
      <c r="H194" s="64">
        <v>3.4</v>
      </c>
      <c r="I194" s="63">
        <v>3.82</v>
      </c>
      <c r="J194" s="14"/>
      <c r="K194" s="63">
        <v>7.0</v>
      </c>
      <c r="L194" s="63">
        <v>1.42</v>
      </c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 ht="12.75" customHeight="1">
      <c r="A195" s="14"/>
      <c r="B195" s="14"/>
      <c r="C195" s="14"/>
      <c r="D195" s="65">
        <v>185.0</v>
      </c>
      <c r="E195" s="47">
        <v>3.07</v>
      </c>
      <c r="F195" s="47">
        <v>3.11</v>
      </c>
      <c r="G195" s="47">
        <v>3.34</v>
      </c>
      <c r="H195" s="47">
        <v>3.43</v>
      </c>
      <c r="I195" s="47">
        <v>3.83</v>
      </c>
      <c r="J195" s="14"/>
      <c r="K195" s="14"/>
      <c r="L195" s="67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</row>
    <row r="196" ht="12.75" customHeight="1">
      <c r="A196" s="14"/>
      <c r="B196" s="14"/>
      <c r="C196" s="14"/>
      <c r="D196" s="63">
        <v>190.0</v>
      </c>
      <c r="E196" s="47">
        <v>3.09</v>
      </c>
      <c r="F196" s="47">
        <v>3.13</v>
      </c>
      <c r="G196" s="47">
        <v>3.37</v>
      </c>
      <c r="H196" s="47">
        <v>3.47</v>
      </c>
      <c r="I196" s="47">
        <v>3.84</v>
      </c>
      <c r="J196" s="14"/>
      <c r="K196" s="14"/>
      <c r="L196" s="67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</row>
    <row r="197" ht="12.75" customHeight="1">
      <c r="A197" s="14"/>
      <c r="B197" s="14"/>
      <c r="C197" s="14"/>
      <c r="D197" s="47">
        <v>195.0</v>
      </c>
      <c r="E197" s="47">
        <v>3.11</v>
      </c>
      <c r="F197" s="47">
        <v>3.16</v>
      </c>
      <c r="G197" s="47">
        <v>3.4</v>
      </c>
      <c r="H197" s="47">
        <v>3.51</v>
      </c>
      <c r="I197" s="47">
        <v>3.86</v>
      </c>
      <c r="J197" s="14"/>
      <c r="K197" s="14"/>
      <c r="L197" s="67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</row>
    <row r="198" ht="12.75" customHeight="1">
      <c r="A198" s="14"/>
      <c r="B198" s="14"/>
      <c r="C198" s="14"/>
      <c r="D198" s="14">
        <v>200.0</v>
      </c>
      <c r="E198" s="14">
        <v>3.12</v>
      </c>
      <c r="F198" s="14">
        <v>3.19</v>
      </c>
      <c r="G198" s="14">
        <v>3.42</v>
      </c>
      <c r="H198" s="14">
        <v>3.55</v>
      </c>
      <c r="I198" s="14">
        <v>3.87</v>
      </c>
      <c r="J198" s="14"/>
      <c r="K198" s="14">
        <v>8.0</v>
      </c>
      <c r="L198" s="67">
        <v>1.5</v>
      </c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</row>
    <row r="199" ht="12.75" customHeight="1">
      <c r="A199" s="14"/>
      <c r="B199" s="14"/>
      <c r="C199" s="14"/>
      <c r="D199" s="65">
        <v>210.0</v>
      </c>
      <c r="E199" s="65">
        <v>3.14</v>
      </c>
      <c r="F199" s="65">
        <v>3.26</v>
      </c>
      <c r="G199" s="65">
        <v>3.48</v>
      </c>
      <c r="H199" s="66">
        <v>3.62</v>
      </c>
      <c r="I199" s="65">
        <v>3.89</v>
      </c>
      <c r="J199" s="14"/>
      <c r="K199" s="63"/>
      <c r="L199" s="63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</row>
    <row r="200" ht="12.75" customHeight="1">
      <c r="A200" s="14"/>
      <c r="B200" s="14"/>
      <c r="C200" s="14"/>
      <c r="D200" s="63">
        <v>220.0</v>
      </c>
      <c r="E200" s="63">
        <v>3.17</v>
      </c>
      <c r="F200" s="63">
        <v>3.32</v>
      </c>
      <c r="G200" s="63">
        <v>3.53</v>
      </c>
      <c r="H200" s="64">
        <v>3.7</v>
      </c>
      <c r="I200" s="63">
        <v>3.92</v>
      </c>
      <c r="J200" s="14"/>
      <c r="K200" s="63">
        <v>9.0</v>
      </c>
      <c r="L200" s="63">
        <v>1.56</v>
      </c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 ht="12.75" customHeight="1">
      <c r="A201" s="14"/>
      <c r="B201" s="14"/>
      <c r="C201" s="14"/>
      <c r="D201" s="47">
        <v>230.0</v>
      </c>
      <c r="E201" s="47">
        <v>3.21</v>
      </c>
      <c r="F201" s="47">
        <v>3.39</v>
      </c>
      <c r="G201" s="47">
        <v>3.8</v>
      </c>
      <c r="H201" s="47">
        <v>3.77</v>
      </c>
      <c r="I201" s="47">
        <v>3.95</v>
      </c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</row>
    <row r="202" ht="12.75" customHeight="1">
      <c r="A202" s="14"/>
      <c r="B202" s="14"/>
      <c r="C202" s="14"/>
      <c r="D202" s="14">
        <v>240.0</v>
      </c>
      <c r="E202" s="14">
        <v>3.25</v>
      </c>
      <c r="F202" s="14">
        <v>3.45</v>
      </c>
      <c r="G202" s="14">
        <v>3.64</v>
      </c>
      <c r="H202" s="14">
        <v>3.84</v>
      </c>
      <c r="I202" s="14">
        <v>3.97</v>
      </c>
      <c r="J202" s="14"/>
      <c r="K202" s="14">
        <v>10.0</v>
      </c>
      <c r="L202" s="14">
        <v>1.61</v>
      </c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</row>
    <row r="203" ht="12.75" customHeight="1">
      <c r="A203" s="14"/>
      <c r="B203" s="14"/>
      <c r="C203" s="14"/>
      <c r="D203" s="65">
        <v>250.0</v>
      </c>
      <c r="E203" s="65">
        <v>3.35</v>
      </c>
      <c r="F203" s="65">
        <v>3.52</v>
      </c>
      <c r="G203" s="65">
        <v>3.69</v>
      </c>
      <c r="H203" s="65">
        <v>3.88</v>
      </c>
      <c r="I203" s="65">
        <v>4.0</v>
      </c>
      <c r="J203" s="14"/>
      <c r="K203" s="63"/>
      <c r="L203" s="63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</row>
    <row r="204" ht="12.75" customHeight="1">
      <c r="A204" s="14"/>
      <c r="B204" s="14"/>
      <c r="C204" s="14"/>
      <c r="D204" s="63">
        <v>260.0</v>
      </c>
      <c r="E204" s="63">
        <v>3.45</v>
      </c>
      <c r="F204" s="63">
        <v>3.58</v>
      </c>
      <c r="G204" s="63">
        <v>3.74</v>
      </c>
      <c r="H204" s="63">
        <v>3.93</v>
      </c>
      <c r="I204" s="63">
        <v>4.03</v>
      </c>
      <c r="J204" s="14"/>
      <c r="K204" s="63">
        <v>15.0</v>
      </c>
      <c r="L204" s="63">
        <v>1.78</v>
      </c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</row>
    <row r="205" ht="12.75" customHeight="1">
      <c r="A205" s="14"/>
      <c r="B205" s="14"/>
      <c r="C205" s="14"/>
      <c r="D205" s="47">
        <v>270.0</v>
      </c>
      <c r="E205" s="47">
        <v>3.55</v>
      </c>
      <c r="F205" s="47">
        <v>3.63</v>
      </c>
      <c r="G205" s="47">
        <v>3.78</v>
      </c>
      <c r="H205" s="69">
        <v>3.96</v>
      </c>
      <c r="I205" s="69">
        <v>4.07</v>
      </c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</row>
    <row r="206" ht="12.75" customHeight="1">
      <c r="A206" s="14"/>
      <c r="B206" s="14"/>
      <c r="C206" s="14"/>
      <c r="D206" s="14">
        <v>280.0</v>
      </c>
      <c r="E206" s="14">
        <v>3.65</v>
      </c>
      <c r="F206" s="14">
        <v>3.69</v>
      </c>
      <c r="G206" s="14">
        <v>3.83</v>
      </c>
      <c r="H206" s="67">
        <v>4.0</v>
      </c>
      <c r="I206" s="67">
        <v>4.1</v>
      </c>
      <c r="J206" s="14"/>
      <c r="K206" s="14">
        <v>20.0</v>
      </c>
      <c r="L206" s="14">
        <v>1.87</v>
      </c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</row>
    <row r="207" ht="12.75" customHeight="1">
      <c r="A207" s="14"/>
      <c r="B207" s="14"/>
      <c r="C207" s="14"/>
      <c r="D207" s="65">
        <v>290.0</v>
      </c>
      <c r="E207" s="65">
        <v>3.68</v>
      </c>
      <c r="F207" s="65">
        <v>3.74</v>
      </c>
      <c r="G207" s="66">
        <v>3.87</v>
      </c>
      <c r="H207" s="65">
        <v>4.02</v>
      </c>
      <c r="I207" s="66">
        <v>4.15</v>
      </c>
      <c r="J207" s="14"/>
      <c r="K207" s="63"/>
      <c r="L207" s="63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</row>
    <row r="208" ht="12.75" customHeight="1">
      <c r="A208" s="14"/>
      <c r="B208" s="14"/>
      <c r="C208" s="14"/>
      <c r="D208" s="63">
        <v>300.0</v>
      </c>
      <c r="E208" s="63">
        <v>3.71</v>
      </c>
      <c r="F208" s="63">
        <v>3.78</v>
      </c>
      <c r="G208" s="64">
        <v>3.9</v>
      </c>
      <c r="H208" s="63">
        <v>4.04</v>
      </c>
      <c r="I208" s="64">
        <v>4.2</v>
      </c>
      <c r="J208" s="14"/>
      <c r="K208" s="63">
        <v>30.0</v>
      </c>
      <c r="L208" s="63">
        <v>1.98</v>
      </c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</row>
    <row r="209" ht="12.75" customHeight="1">
      <c r="A209" s="14"/>
      <c r="B209" s="14"/>
      <c r="C209" s="14"/>
      <c r="D209" s="14">
        <v>320.0</v>
      </c>
      <c r="E209" s="14">
        <v>3.79</v>
      </c>
      <c r="F209" s="14">
        <v>3.84</v>
      </c>
      <c r="G209" s="14">
        <v>3.95</v>
      </c>
      <c r="H209" s="14">
        <v>4.12</v>
      </c>
      <c r="I209" s="14">
        <v>4.31</v>
      </c>
      <c r="J209" s="14"/>
      <c r="K209" s="14">
        <v>40.0</v>
      </c>
      <c r="L209" s="14">
        <v>2.06</v>
      </c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</row>
    <row r="210" ht="12.75" customHeight="1">
      <c r="A210" s="14"/>
      <c r="B210" s="14"/>
      <c r="C210" s="14"/>
      <c r="D210" s="63">
        <v>340.0</v>
      </c>
      <c r="E210" s="63">
        <v>3.86</v>
      </c>
      <c r="F210" s="63">
        <v>3.88</v>
      </c>
      <c r="G210" s="63">
        <v>4.02</v>
      </c>
      <c r="H210" s="63">
        <v>4.26</v>
      </c>
      <c r="I210" s="63">
        <v>4.44</v>
      </c>
      <c r="J210" s="14"/>
      <c r="K210" s="63">
        <v>50.0</v>
      </c>
      <c r="L210" s="63">
        <v>2.14</v>
      </c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</row>
    <row r="211" ht="12.75" customHeight="1">
      <c r="A211" s="14"/>
      <c r="B211" s="14"/>
      <c r="C211" s="14"/>
      <c r="D211" s="14">
        <v>360.0</v>
      </c>
      <c r="E211" s="14">
        <v>3.92</v>
      </c>
      <c r="F211" s="14">
        <v>3.95</v>
      </c>
      <c r="G211" s="14">
        <v>4.11</v>
      </c>
      <c r="H211" s="14">
        <v>4.41</v>
      </c>
      <c r="I211" s="14">
        <v>4.56</v>
      </c>
      <c r="J211" s="14"/>
      <c r="K211" s="14">
        <v>60.0</v>
      </c>
      <c r="L211" s="14">
        <v>2.21</v>
      </c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 ht="12.75" customHeight="1">
      <c r="A212" s="14"/>
      <c r="B212" s="14"/>
      <c r="C212" s="14"/>
      <c r="D212" s="63">
        <v>380.0</v>
      </c>
      <c r="E212" s="63">
        <v>3.96</v>
      </c>
      <c r="F212" s="63">
        <v>4.03</v>
      </c>
      <c r="G212" s="63">
        <v>4.21</v>
      </c>
      <c r="H212" s="63">
        <v>4.55</v>
      </c>
      <c r="I212" s="63">
        <v>4.66</v>
      </c>
      <c r="J212" s="14"/>
      <c r="K212" s="63">
        <v>90.0</v>
      </c>
      <c r="L212" s="64">
        <v>2.4</v>
      </c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</row>
    <row r="213" ht="12.75" customHeight="1">
      <c r="A213" s="14"/>
      <c r="B213" s="14"/>
      <c r="C213" s="14"/>
      <c r="D213" s="14">
        <v>400.0</v>
      </c>
      <c r="E213" s="14">
        <v>3.99</v>
      </c>
      <c r="F213" s="14">
        <v>4.11</v>
      </c>
      <c r="G213" s="67">
        <v>4.3</v>
      </c>
      <c r="H213" s="14">
        <v>4.69</v>
      </c>
      <c r="I213" s="14">
        <v>4.75</v>
      </c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</row>
    <row r="214" ht="12.75" customHeight="1">
      <c r="A214" s="14"/>
      <c r="B214" s="14"/>
      <c r="C214" s="14"/>
      <c r="D214" s="63">
        <v>420.0</v>
      </c>
      <c r="E214" s="63">
        <v>4.02</v>
      </c>
      <c r="F214" s="63">
        <v>4.15</v>
      </c>
      <c r="G214" s="63">
        <v>4.34</v>
      </c>
      <c r="H214" s="63">
        <v>4.73</v>
      </c>
      <c r="I214" s="63">
        <v>4.79</v>
      </c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 ht="12.75" customHeight="1">
      <c r="A215" s="14"/>
      <c r="B215" s="14"/>
      <c r="C215" s="14"/>
      <c r="D215" s="14">
        <v>440.0</v>
      </c>
      <c r="E215" s="14">
        <v>4.08</v>
      </c>
      <c r="F215" s="67">
        <v>4.2</v>
      </c>
      <c r="G215" s="14">
        <v>4.39</v>
      </c>
      <c r="H215" s="14">
        <v>4.78</v>
      </c>
      <c r="I215" s="14">
        <v>4.84</v>
      </c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 ht="12.75" customHeight="1">
      <c r="A216" s="14"/>
      <c r="B216" s="14"/>
      <c r="C216" s="14"/>
      <c r="D216" s="63">
        <v>460.0</v>
      </c>
      <c r="E216" s="63">
        <v>4.17</v>
      </c>
      <c r="F216" s="63">
        <v>4.29</v>
      </c>
      <c r="G216" s="63">
        <v>4.48</v>
      </c>
      <c r="H216" s="63">
        <v>4.87</v>
      </c>
      <c r="I216" s="63">
        <v>4.93</v>
      </c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</row>
    <row r="217" ht="12.75" customHeight="1">
      <c r="A217" s="14"/>
      <c r="B217" s="14"/>
      <c r="C217" s="14"/>
      <c r="D217" s="14">
        <v>480.0</v>
      </c>
      <c r="E217" s="14">
        <v>4.28</v>
      </c>
      <c r="F217" s="67">
        <v>4.4</v>
      </c>
      <c r="G217" s="14">
        <v>4.59</v>
      </c>
      <c r="H217" s="14">
        <v>4.98</v>
      </c>
      <c r="I217" s="14">
        <v>5.04</v>
      </c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</row>
    <row r="218" ht="12.75" customHeight="1">
      <c r="A218" s="14"/>
      <c r="B218" s="14"/>
      <c r="C218" s="14"/>
      <c r="D218" s="63">
        <v>500.0</v>
      </c>
      <c r="E218" s="63">
        <v>4.41</v>
      </c>
      <c r="F218" s="63">
        <v>4.53</v>
      </c>
      <c r="G218" s="63">
        <v>4.72</v>
      </c>
      <c r="H218" s="63">
        <v>5.11</v>
      </c>
      <c r="I218" s="63">
        <v>5.17</v>
      </c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</row>
    <row r="219" ht="12.75" customHeight="1">
      <c r="A219" s="14"/>
      <c r="B219" s="14"/>
      <c r="C219" s="14"/>
      <c r="D219" s="14">
        <v>520.0</v>
      </c>
      <c r="E219" s="14">
        <v>4.54</v>
      </c>
      <c r="F219" s="14">
        <v>4.85</v>
      </c>
      <c r="G219" s="14">
        <v>4.85</v>
      </c>
      <c r="H219" s="14">
        <v>5.24</v>
      </c>
      <c r="I219" s="67">
        <v>5.3</v>
      </c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</row>
    <row r="220" ht="12.75" customHeight="1">
      <c r="A220" s="14"/>
      <c r="B220" s="14"/>
      <c r="C220" s="14"/>
      <c r="D220" s="63">
        <v>540.0</v>
      </c>
      <c r="E220" s="63">
        <v>4.65</v>
      </c>
      <c r="F220" s="63">
        <v>4.97</v>
      </c>
      <c r="G220" s="63">
        <v>4.97</v>
      </c>
      <c r="H220" s="63">
        <v>5.36</v>
      </c>
      <c r="I220" s="63">
        <v>5.42</v>
      </c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 ht="12.75" customHeight="1">
      <c r="A221" s="14"/>
      <c r="B221" s="14"/>
      <c r="C221" s="14"/>
      <c r="D221" s="14">
        <v>560.0</v>
      </c>
      <c r="E221" s="14">
        <v>4.74</v>
      </c>
      <c r="F221" s="14">
        <v>5.05</v>
      </c>
      <c r="G221" s="14">
        <v>5.05</v>
      </c>
      <c r="H221" s="14">
        <v>5.44</v>
      </c>
      <c r="I221" s="67">
        <v>5.5</v>
      </c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</row>
    <row r="222" ht="12.75" customHeight="1">
      <c r="A222" s="14"/>
      <c r="B222" s="14"/>
      <c r="C222" s="14"/>
      <c r="D222" s="63">
        <v>580.0</v>
      </c>
      <c r="E222" s="63">
        <v>4.79</v>
      </c>
      <c r="F222" s="64">
        <v>5.1</v>
      </c>
      <c r="G222" s="64">
        <v>5.1</v>
      </c>
      <c r="H222" s="63">
        <v>5.49</v>
      </c>
      <c r="I222" s="63">
        <v>5.55</v>
      </c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</row>
    <row r="223" ht="12.75" customHeight="1">
      <c r="A223" s="14"/>
      <c r="B223" s="14"/>
      <c r="C223" s="14"/>
      <c r="D223" s="14">
        <v>600.0</v>
      </c>
      <c r="E223" s="14">
        <v>4.82</v>
      </c>
      <c r="F223" s="14">
        <v>5.13</v>
      </c>
      <c r="G223" s="14">
        <v>5.13</v>
      </c>
      <c r="H223" s="14">
        <v>5.52</v>
      </c>
      <c r="I223" s="14">
        <v>5.58</v>
      </c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</row>
    <row r="224" ht="12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</row>
    <row r="225" ht="12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</row>
    <row r="226" ht="12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</row>
    <row r="227" ht="12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</row>
    <row r="228" ht="12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</row>
    <row r="229" ht="12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</row>
    <row r="230" ht="12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</row>
    <row r="231" ht="12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</row>
    <row r="232" ht="12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</row>
    <row r="233" ht="12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</row>
    <row r="234" ht="12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</row>
    <row r="235" ht="12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</row>
    <row r="236" ht="12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</row>
    <row r="237" ht="12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</row>
    <row r="238" ht="12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</row>
    <row r="239" ht="12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</row>
    <row r="240" ht="12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</row>
    <row r="241" ht="12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</row>
    <row r="242" ht="12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</row>
    <row r="243" ht="12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</row>
    <row r="244" ht="12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</row>
    <row r="245" ht="12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</row>
    <row r="246" ht="12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</row>
    <row r="247" ht="12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</row>
    <row r="248" ht="12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</row>
    <row r="249" ht="12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</row>
    <row r="250" ht="12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</row>
    <row r="251" ht="12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</row>
    <row r="252" ht="12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</row>
    <row r="253" ht="12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</row>
    <row r="254" ht="12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</row>
    <row r="255" ht="12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</row>
    <row r="256" ht="12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</row>
    <row r="257" ht="12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</row>
    <row r="258" ht="12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</row>
    <row r="259" ht="12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</row>
    <row r="260" ht="12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</row>
    <row r="261" ht="12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</row>
    <row r="262" ht="12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</row>
    <row r="263" ht="12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</row>
    <row r="264" ht="12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</row>
    <row r="265" ht="12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</row>
    <row r="266" ht="12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</row>
    <row r="267" ht="12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</row>
    <row r="268" ht="12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</row>
    <row r="269" ht="12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</row>
    <row r="270" ht="12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</row>
    <row r="271" ht="12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</row>
    <row r="272" ht="12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</row>
    <row r="273" ht="12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</row>
    <row r="274" ht="12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</row>
    <row r="275" ht="12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</row>
    <row r="276" ht="12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</row>
    <row r="277" ht="12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</row>
    <row r="278" ht="12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</row>
    <row r="279" ht="12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</row>
    <row r="280" ht="12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</row>
    <row r="281" ht="12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</row>
    <row r="282" ht="12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</row>
    <row r="283" ht="12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</row>
    <row r="284" ht="12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</row>
    <row r="285" ht="12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</row>
    <row r="286" ht="12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</row>
    <row r="287" ht="12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</row>
    <row r="288" ht="12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</row>
    <row r="289" ht="12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</row>
    <row r="290" ht="12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</row>
    <row r="291" ht="12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</row>
    <row r="292" ht="12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</row>
    <row r="293" ht="12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</row>
    <row r="294" ht="12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</row>
    <row r="295" ht="12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</row>
    <row r="296" ht="12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</row>
    <row r="297" ht="12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</row>
    <row r="298" ht="12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</row>
    <row r="299" ht="12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</row>
    <row r="300" ht="12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</row>
    <row r="301" ht="12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</row>
    <row r="302" ht="12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</row>
    <row r="303" ht="12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</row>
    <row r="304" ht="12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</row>
    <row r="305" ht="12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</row>
    <row r="306" ht="12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</row>
    <row r="307" ht="12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</row>
    <row r="308" ht="12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</row>
    <row r="309" ht="12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</row>
    <row r="310" ht="12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</row>
    <row r="311" ht="12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</row>
    <row r="312" ht="12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</row>
    <row r="313" ht="12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</row>
    <row r="314" ht="12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</row>
    <row r="315" ht="12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</row>
    <row r="316" ht="12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</row>
    <row r="317" ht="12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</row>
    <row r="318" ht="12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</row>
    <row r="319" ht="12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</row>
    <row r="320" ht="12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</row>
    <row r="321" ht="12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</row>
    <row r="322" ht="12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</row>
    <row r="323" ht="12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</row>
    <row r="324" ht="12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</row>
    <row r="325" ht="12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</row>
    <row r="326" ht="12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</row>
    <row r="327" ht="12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</row>
    <row r="328" ht="12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</row>
    <row r="329" ht="12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</row>
    <row r="330" ht="12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</row>
    <row r="331" ht="12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</row>
    <row r="332" ht="12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</row>
    <row r="333" ht="12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</row>
    <row r="334" ht="12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</row>
    <row r="335" ht="12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</row>
    <row r="336" ht="12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</row>
    <row r="337" ht="12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</row>
    <row r="338" ht="12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</row>
    <row r="339" ht="12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</row>
    <row r="340" ht="12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</row>
    <row r="341" ht="12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</row>
    <row r="342" ht="12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</row>
    <row r="343" ht="12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</row>
    <row r="344" ht="12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</row>
    <row r="345" ht="12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</row>
    <row r="346" ht="12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</row>
    <row r="347" ht="12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</row>
    <row r="348" ht="12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</row>
    <row r="349" ht="12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</row>
    <row r="350" ht="12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</row>
    <row r="351" ht="12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</row>
    <row r="352" ht="12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</row>
    <row r="353" ht="12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</row>
    <row r="354" ht="12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</row>
    <row r="355" ht="12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</row>
    <row r="356" ht="12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</row>
    <row r="357" ht="12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</row>
    <row r="358" ht="12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</row>
    <row r="359" ht="12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</row>
    <row r="360" ht="12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</row>
    <row r="361" ht="12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</row>
    <row r="362" ht="12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</row>
    <row r="363" ht="12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</row>
    <row r="364" ht="12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</row>
    <row r="365" ht="12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</row>
    <row r="366" ht="12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</row>
    <row r="367" ht="12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</row>
    <row r="368" ht="12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</row>
    <row r="369" ht="12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</row>
    <row r="370" ht="12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</row>
    <row r="371" ht="12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</row>
    <row r="372" ht="12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</row>
    <row r="373" ht="12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</row>
    <row r="374" ht="12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</row>
    <row r="375" ht="12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</row>
    <row r="376" ht="12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</row>
    <row r="377" ht="12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</row>
    <row r="378" ht="12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</row>
    <row r="379" ht="12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</row>
    <row r="380" ht="12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</row>
    <row r="381" ht="12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</row>
    <row r="382" ht="12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</row>
    <row r="383" ht="12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</row>
    <row r="384" ht="12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</row>
    <row r="385" ht="12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</row>
    <row r="386" ht="12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</row>
    <row r="387" ht="12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</row>
    <row r="388" ht="12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</row>
    <row r="389" ht="12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</row>
    <row r="390" ht="12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</row>
    <row r="391" ht="12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</row>
    <row r="392" ht="12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</row>
    <row r="393" ht="12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</row>
    <row r="394" ht="12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</row>
    <row r="395" ht="12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</row>
    <row r="396" ht="12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</row>
    <row r="397" ht="12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</row>
    <row r="398" ht="12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</row>
    <row r="399" ht="12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</row>
    <row r="400" ht="12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</row>
    <row r="401" ht="12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</row>
    <row r="402" ht="12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</row>
    <row r="403" ht="12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</row>
    <row r="404" ht="12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</row>
    <row r="405" ht="12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</row>
    <row r="406" ht="12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</row>
    <row r="407" ht="12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</row>
    <row r="408" ht="12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</row>
    <row r="409" ht="12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</row>
    <row r="410" ht="12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</row>
    <row r="411" ht="12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</row>
    <row r="412" ht="12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</row>
    <row r="413" ht="12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</row>
    <row r="414" ht="12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</row>
    <row r="415" ht="12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</row>
    <row r="416" ht="12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</row>
    <row r="417" ht="12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</row>
    <row r="418" ht="12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</row>
    <row r="419" ht="12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</row>
    <row r="420" ht="12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</row>
    <row r="421" ht="12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</row>
    <row r="422" ht="12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</row>
    <row r="423" ht="12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</row>
    <row r="424" ht="12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</row>
    <row r="425" ht="12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</row>
    <row r="426" ht="12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</row>
    <row r="427" ht="12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</row>
    <row r="428" ht="12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</row>
    <row r="429" ht="12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</row>
    <row r="430" ht="12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</row>
    <row r="431" ht="12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</row>
    <row r="432" ht="12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</row>
    <row r="433" ht="12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</row>
    <row r="434" ht="12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</row>
    <row r="435" ht="12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</row>
    <row r="436" ht="12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</row>
    <row r="437" ht="12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</row>
    <row r="438" ht="12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</row>
    <row r="439" ht="12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</row>
    <row r="440" ht="12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</row>
    <row r="441" ht="12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</row>
    <row r="442" ht="12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</row>
    <row r="443" ht="12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</row>
    <row r="444" ht="12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</row>
    <row r="445" ht="12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</row>
    <row r="446" ht="12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</row>
    <row r="447" ht="12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</row>
    <row r="448" ht="12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</row>
    <row r="449" ht="12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</row>
    <row r="450" ht="12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</row>
    <row r="451" ht="12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</row>
    <row r="452" ht="12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</row>
    <row r="453" ht="12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</row>
    <row r="454" ht="12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</row>
    <row r="455" ht="12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</row>
    <row r="456" ht="12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</row>
    <row r="457" ht="12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</row>
    <row r="458" ht="12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</row>
    <row r="459" ht="12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</row>
    <row r="460" ht="12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</row>
    <row r="461" ht="12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</row>
    <row r="462" ht="12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</row>
    <row r="463" ht="12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</row>
    <row r="464" ht="12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</row>
    <row r="465" ht="12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</row>
    <row r="466" ht="12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</row>
    <row r="467" ht="12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</row>
    <row r="468" ht="12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</row>
    <row r="469" ht="12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</row>
    <row r="470" ht="12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</row>
    <row r="471" ht="12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</row>
    <row r="472" ht="12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</row>
    <row r="473" ht="12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</row>
    <row r="474" ht="12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</row>
    <row r="475" ht="12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</row>
    <row r="476" ht="12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</row>
    <row r="477" ht="12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</row>
    <row r="478" ht="12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</row>
    <row r="479" ht="12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</row>
    <row r="480" ht="12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</row>
    <row r="481" ht="12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</row>
    <row r="482" ht="12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</row>
    <row r="483" ht="12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</row>
    <row r="484" ht="12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</row>
    <row r="485" ht="12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</row>
    <row r="486" ht="12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</row>
    <row r="487" ht="12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</row>
    <row r="488" ht="12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</row>
    <row r="489" ht="12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</row>
    <row r="490" ht="12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</row>
    <row r="491" ht="12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</row>
    <row r="492" ht="12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</row>
    <row r="493" ht="12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</row>
    <row r="494" ht="12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</row>
    <row r="495" ht="12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</row>
    <row r="496" ht="12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</row>
    <row r="497" ht="12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</row>
    <row r="498" ht="12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</row>
    <row r="499" ht="12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</row>
    <row r="500" ht="12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</row>
    <row r="501" ht="12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</row>
    <row r="502" ht="12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</row>
    <row r="503" ht="12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</row>
    <row r="504" ht="12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</row>
    <row r="505" ht="12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</row>
    <row r="506" ht="12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</row>
    <row r="507" ht="12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</row>
    <row r="508" ht="12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</row>
    <row r="509" ht="12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</row>
    <row r="510" ht="12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</row>
    <row r="511" ht="12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</row>
    <row r="512" ht="12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</row>
    <row r="513" ht="12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</row>
    <row r="514" ht="12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</row>
    <row r="515" ht="12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</row>
    <row r="516" ht="12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</row>
    <row r="517" ht="12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</row>
    <row r="518" ht="12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</row>
    <row r="519" ht="12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</row>
    <row r="520" ht="12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</row>
    <row r="521" ht="12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</row>
    <row r="522" ht="12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</row>
    <row r="523" ht="12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</row>
    <row r="524" ht="12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</row>
    <row r="525" ht="12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</row>
    <row r="526" ht="12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</row>
    <row r="527" ht="12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</row>
    <row r="528" ht="12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</row>
    <row r="529" ht="12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</row>
    <row r="530" ht="12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</row>
    <row r="531" ht="12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</row>
    <row r="532" ht="12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</row>
    <row r="533" ht="12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</row>
    <row r="534" ht="12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</row>
    <row r="535" ht="12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</row>
    <row r="536" ht="12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</row>
    <row r="537" ht="12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</row>
    <row r="538" ht="12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</row>
    <row r="539" ht="12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</row>
    <row r="540" ht="12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</row>
    <row r="541" ht="12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</row>
    <row r="542" ht="12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</row>
    <row r="543" ht="12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</row>
    <row r="544" ht="12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</row>
    <row r="545" ht="12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</row>
    <row r="546" ht="12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</row>
    <row r="547" ht="12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</row>
    <row r="548" ht="12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</row>
    <row r="549" ht="12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</row>
    <row r="550" ht="12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</row>
    <row r="551" ht="12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</row>
    <row r="552" ht="12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</row>
    <row r="553" ht="12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</row>
    <row r="554" ht="12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</row>
    <row r="555" ht="12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</row>
    <row r="556" ht="12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</row>
    <row r="557" ht="12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</row>
    <row r="558" ht="12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</row>
    <row r="559" ht="12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</row>
    <row r="560" ht="12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</row>
    <row r="561" ht="12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</row>
    <row r="562" ht="12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</row>
    <row r="563" ht="12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</row>
    <row r="564" ht="12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</row>
    <row r="565" ht="12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</row>
    <row r="566" ht="12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</row>
    <row r="567" ht="12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</row>
    <row r="568" ht="12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</row>
    <row r="569" ht="12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</row>
    <row r="570" ht="12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</row>
    <row r="571" ht="12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</row>
    <row r="572" ht="12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</row>
    <row r="573" ht="12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</row>
    <row r="574" ht="12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</row>
    <row r="575" ht="12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</row>
    <row r="576" ht="12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</row>
    <row r="577" ht="12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</row>
    <row r="578" ht="12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</row>
    <row r="579" ht="12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</row>
    <row r="580" ht="12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</row>
    <row r="581" ht="12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</row>
    <row r="582" ht="12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</row>
    <row r="583" ht="12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</row>
    <row r="584" ht="12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</row>
    <row r="585" ht="12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</row>
    <row r="586" ht="12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</row>
    <row r="587" ht="12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</row>
    <row r="588" ht="12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</row>
    <row r="589" ht="12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</row>
    <row r="590" ht="12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</row>
    <row r="591" ht="12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</row>
    <row r="592" ht="12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</row>
    <row r="593" ht="12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</row>
    <row r="594" ht="12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</row>
    <row r="595" ht="12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</row>
    <row r="596" ht="12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</row>
    <row r="597" ht="12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</row>
    <row r="598" ht="12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</row>
    <row r="599" ht="12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</row>
    <row r="600" ht="12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</row>
    <row r="601" ht="12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</row>
    <row r="602" ht="12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</row>
    <row r="603" ht="12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</row>
    <row r="604" ht="12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</row>
    <row r="605" ht="12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</row>
    <row r="606" ht="12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</row>
    <row r="607" ht="12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</row>
    <row r="608" ht="12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</row>
    <row r="609" ht="12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</row>
    <row r="610" ht="12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</row>
    <row r="611" ht="12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</row>
    <row r="612" ht="12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</row>
    <row r="613" ht="12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</row>
    <row r="614" ht="12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</row>
    <row r="615" ht="12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</row>
    <row r="616" ht="12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</row>
    <row r="617" ht="12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</row>
    <row r="618" ht="12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</row>
    <row r="619" ht="12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</row>
    <row r="620" ht="12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</row>
    <row r="621" ht="12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</row>
    <row r="622" ht="12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</row>
    <row r="623" ht="12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</row>
    <row r="624" ht="12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</row>
    <row r="625" ht="12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</row>
    <row r="626" ht="12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</row>
    <row r="627" ht="12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</row>
    <row r="628" ht="12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</row>
    <row r="629" ht="12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</row>
    <row r="630" ht="12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</row>
    <row r="631" ht="12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</row>
    <row r="632" ht="12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</row>
    <row r="633" ht="12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</row>
    <row r="634" ht="12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</row>
    <row r="635" ht="12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</row>
    <row r="636" ht="12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</row>
    <row r="637" ht="12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</row>
    <row r="638" ht="12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</row>
    <row r="639" ht="12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</row>
    <row r="640" ht="12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</row>
    <row r="641" ht="12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</row>
    <row r="642" ht="12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</row>
    <row r="643" ht="12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</row>
    <row r="644" ht="12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</row>
    <row r="645" ht="12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</row>
    <row r="646" ht="12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</row>
    <row r="647" ht="12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</row>
    <row r="648" ht="12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</row>
    <row r="649" ht="12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</row>
    <row r="650" ht="12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</row>
    <row r="651" ht="12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</row>
    <row r="652" ht="12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</row>
    <row r="653" ht="12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</row>
    <row r="654" ht="12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</row>
    <row r="655" ht="12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</row>
    <row r="656" ht="12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</row>
    <row r="657" ht="12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</row>
    <row r="658" ht="12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</row>
    <row r="659" ht="12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</row>
    <row r="660" ht="12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</row>
    <row r="661" ht="12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</row>
    <row r="662" ht="12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</row>
    <row r="663" ht="12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</row>
    <row r="664" ht="12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</row>
    <row r="665" ht="12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</row>
    <row r="666" ht="12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</row>
    <row r="667" ht="12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</row>
    <row r="668" ht="12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</row>
    <row r="669" ht="12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</row>
    <row r="670" ht="12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</row>
    <row r="671" ht="12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</row>
    <row r="672" ht="12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</row>
    <row r="673" ht="12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</row>
    <row r="674" ht="12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</row>
    <row r="675" ht="12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</row>
    <row r="676" ht="12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</row>
    <row r="677" ht="12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</row>
    <row r="678" ht="12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</row>
    <row r="679" ht="12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</row>
    <row r="680" ht="12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</row>
    <row r="681" ht="12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</row>
    <row r="682" ht="12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</row>
    <row r="683" ht="12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</row>
    <row r="684" ht="12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</row>
    <row r="685" ht="12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</row>
    <row r="686" ht="12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</row>
    <row r="687" ht="12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</row>
    <row r="688" ht="12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</row>
    <row r="689" ht="12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</row>
    <row r="690" ht="12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</row>
    <row r="691" ht="12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</row>
    <row r="692" ht="12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</row>
    <row r="693" ht="12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</row>
    <row r="694" ht="12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</row>
    <row r="695" ht="12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</row>
    <row r="696" ht="12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</row>
    <row r="697" ht="12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</row>
    <row r="698" ht="12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</row>
    <row r="699" ht="12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</row>
    <row r="700" ht="12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</row>
    <row r="701" ht="12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</row>
    <row r="702" ht="12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</row>
    <row r="703" ht="12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</row>
    <row r="704" ht="12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</row>
    <row r="705" ht="12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</row>
    <row r="706" ht="12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</row>
    <row r="707" ht="12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</row>
    <row r="708" ht="12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</row>
    <row r="709" ht="12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</row>
    <row r="710" ht="12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</row>
    <row r="711" ht="12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</row>
    <row r="712" ht="12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</row>
    <row r="713" ht="12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</row>
    <row r="714" ht="12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</row>
    <row r="715" ht="12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</row>
    <row r="716" ht="12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</row>
    <row r="717" ht="12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</row>
    <row r="718" ht="12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</row>
    <row r="719" ht="12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</row>
    <row r="720" ht="12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</row>
    <row r="721" ht="12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</row>
    <row r="722" ht="12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</row>
    <row r="723" ht="12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</row>
    <row r="724" ht="12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</row>
    <row r="725" ht="12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</row>
    <row r="726" ht="12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</row>
    <row r="727" ht="12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</row>
    <row r="728" ht="12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</row>
    <row r="729" ht="12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</row>
    <row r="730" ht="12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</row>
    <row r="731" ht="12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</row>
    <row r="732" ht="12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</row>
    <row r="733" ht="12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</row>
    <row r="734" ht="12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</row>
    <row r="735" ht="12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</row>
    <row r="736" ht="12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</row>
    <row r="737" ht="12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</row>
    <row r="738" ht="12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</row>
    <row r="739" ht="12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</row>
    <row r="740" ht="12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</row>
    <row r="741" ht="12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</row>
    <row r="742" ht="12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</row>
    <row r="743" ht="12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</row>
    <row r="744" ht="12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</row>
    <row r="745" ht="12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</row>
    <row r="746" ht="12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</row>
    <row r="747" ht="12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</row>
    <row r="748" ht="12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</row>
    <row r="749" ht="12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</row>
    <row r="750" ht="12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</row>
    <row r="751" ht="12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</row>
    <row r="752" ht="12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</row>
    <row r="753" ht="12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</row>
    <row r="754" ht="12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</row>
    <row r="755" ht="12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</row>
    <row r="756" ht="12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</row>
    <row r="757" ht="12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</row>
    <row r="758" ht="12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</row>
    <row r="759" ht="12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</row>
    <row r="760" ht="12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</row>
    <row r="761" ht="12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</row>
    <row r="762" ht="12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</row>
    <row r="763" ht="12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</row>
    <row r="764" ht="12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</row>
    <row r="765" ht="12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</row>
    <row r="766" ht="12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</row>
    <row r="767" ht="12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</row>
    <row r="768" ht="12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</row>
    <row r="769" ht="12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</row>
    <row r="770" ht="12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</row>
    <row r="771" ht="12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</row>
    <row r="772" ht="12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</row>
    <row r="773" ht="12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</row>
    <row r="774" ht="12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</row>
    <row r="775" ht="12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</row>
    <row r="776" ht="12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</row>
    <row r="777" ht="12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</row>
    <row r="778" ht="12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</row>
    <row r="779" ht="12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</row>
    <row r="780" ht="12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</row>
    <row r="781" ht="12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</row>
    <row r="782" ht="12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</row>
    <row r="783" ht="12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</row>
    <row r="784" ht="12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</row>
    <row r="785" ht="12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</row>
    <row r="786" ht="12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</row>
    <row r="787" ht="12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</row>
    <row r="788" ht="12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</row>
    <row r="789" ht="12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</row>
    <row r="790" ht="12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</row>
    <row r="791" ht="12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</row>
    <row r="792" ht="12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</row>
    <row r="793" ht="12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</row>
    <row r="794" ht="12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</row>
    <row r="795" ht="12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</row>
    <row r="796" ht="12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</row>
    <row r="797" ht="12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</row>
    <row r="798" ht="12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</row>
    <row r="799" ht="12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</row>
    <row r="800" ht="12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</row>
    <row r="801" ht="12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</row>
    <row r="802" ht="12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</row>
    <row r="803" ht="12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</row>
    <row r="804" ht="12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</row>
    <row r="805" ht="12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</row>
    <row r="806" ht="12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</row>
    <row r="807" ht="12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</row>
    <row r="808" ht="12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</row>
    <row r="809" ht="12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</row>
    <row r="810" ht="12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</row>
    <row r="811" ht="12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</row>
    <row r="812" ht="12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</row>
    <row r="813" ht="12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</row>
    <row r="814" ht="12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</row>
    <row r="815" ht="12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</row>
    <row r="816" ht="12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</row>
    <row r="817" ht="12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</row>
    <row r="818" ht="12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</row>
    <row r="819" ht="12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</row>
    <row r="820" ht="12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</row>
    <row r="821" ht="12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</row>
    <row r="822" ht="12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</row>
    <row r="823" ht="12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</row>
    <row r="824" ht="12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</row>
    <row r="825" ht="12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</row>
    <row r="826" ht="12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</row>
    <row r="827" ht="12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</row>
    <row r="828" ht="12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</row>
    <row r="829" ht="12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</row>
    <row r="830" ht="12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</row>
    <row r="831" ht="12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</row>
    <row r="832" ht="12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</row>
    <row r="833" ht="12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</row>
    <row r="834" ht="12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</row>
    <row r="835" ht="12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</row>
    <row r="836" ht="12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</row>
    <row r="837" ht="12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</row>
    <row r="838" ht="12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</row>
    <row r="839" ht="12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</row>
    <row r="840" ht="12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</row>
    <row r="841" ht="12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</row>
    <row r="842" ht="12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</row>
    <row r="843" ht="12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</row>
    <row r="844" ht="12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</row>
    <row r="845" ht="12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</row>
    <row r="846" ht="12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</row>
    <row r="847" ht="12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</row>
    <row r="848" ht="12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</row>
    <row r="849" ht="12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</row>
    <row r="850" ht="12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</row>
    <row r="851" ht="12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</row>
    <row r="852" ht="12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</row>
    <row r="853" ht="12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</row>
    <row r="854" ht="12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</row>
    <row r="855" ht="12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</row>
    <row r="856" ht="12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</row>
    <row r="857" ht="12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</row>
    <row r="858" ht="12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</row>
    <row r="859" ht="12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</row>
    <row r="860" ht="12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</row>
    <row r="861" ht="12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</row>
    <row r="862" ht="12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</row>
    <row r="863" ht="12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</row>
    <row r="864" ht="12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</row>
    <row r="865" ht="12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</row>
    <row r="866" ht="12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</row>
    <row r="867" ht="12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</row>
    <row r="868" ht="12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</row>
    <row r="869" ht="12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</row>
    <row r="870" ht="12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</row>
    <row r="871" ht="12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</row>
    <row r="872" ht="12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</row>
    <row r="873" ht="12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</row>
    <row r="874" ht="12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</row>
    <row r="875" ht="12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</row>
    <row r="876" ht="12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</row>
    <row r="877" ht="12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</row>
    <row r="878" ht="12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</row>
    <row r="879" ht="12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</row>
    <row r="880" ht="12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</row>
    <row r="881" ht="12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</row>
    <row r="882" ht="12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</row>
    <row r="883" ht="12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</row>
    <row r="884" ht="12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</row>
    <row r="885" ht="12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</row>
    <row r="886" ht="12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</row>
    <row r="887" ht="12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</row>
    <row r="888" ht="12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</row>
    <row r="889" ht="12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</row>
    <row r="890" ht="12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</row>
    <row r="891" ht="12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</row>
    <row r="892" ht="12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</row>
    <row r="893" ht="12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</row>
    <row r="894" ht="12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</row>
    <row r="895" ht="12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</row>
    <row r="896" ht="12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</row>
    <row r="897" ht="12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</row>
    <row r="898" ht="12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</row>
    <row r="899" ht="12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</row>
    <row r="900" ht="12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</row>
    <row r="901" ht="12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</row>
    <row r="902" ht="12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</row>
    <row r="903" ht="12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</row>
    <row r="904" ht="12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</row>
    <row r="905" ht="12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</row>
    <row r="906" ht="12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</row>
    <row r="907" ht="12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</row>
    <row r="908" ht="12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</row>
    <row r="909" ht="12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</row>
    <row r="910" ht="12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</row>
    <row r="911" ht="12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</row>
    <row r="912" ht="12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</row>
    <row r="913" ht="12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</row>
    <row r="914" ht="12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</row>
    <row r="915" ht="12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</row>
    <row r="916" ht="12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</row>
    <row r="917" ht="12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</row>
    <row r="918" ht="12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</row>
    <row r="919" ht="12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</row>
    <row r="920" ht="12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</row>
    <row r="921" ht="12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</row>
    <row r="922" ht="12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</row>
    <row r="923" ht="12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</row>
    <row r="924" ht="12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</row>
    <row r="925" ht="12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</row>
    <row r="926" ht="12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</row>
    <row r="927" ht="12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</row>
    <row r="928" ht="12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</row>
    <row r="929" ht="12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</row>
    <row r="930" ht="12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</row>
    <row r="931" ht="12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</row>
    <row r="932" ht="12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</row>
    <row r="933" ht="12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</row>
    <row r="934" ht="12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</row>
    <row r="935" ht="12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</row>
    <row r="936" ht="12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</row>
    <row r="937" ht="12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</row>
    <row r="938" ht="12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</row>
    <row r="939" ht="12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</row>
    <row r="940" ht="12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</row>
    <row r="941" ht="12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</row>
    <row r="942" ht="12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</row>
    <row r="943" ht="12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</row>
    <row r="944" ht="12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</row>
    <row r="945" ht="12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</row>
    <row r="946" ht="12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</row>
    <row r="947" ht="12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</row>
    <row r="948" ht="12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</row>
    <row r="949" ht="12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</row>
    <row r="950" ht="12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</row>
    <row r="951" ht="12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</row>
    <row r="952" ht="12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</row>
    <row r="953" ht="12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</row>
    <row r="954" ht="12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</row>
    <row r="955" ht="12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</row>
    <row r="956" ht="12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</row>
    <row r="957" ht="12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</row>
    <row r="958" ht="12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</row>
    <row r="959" ht="12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</row>
    <row r="960" ht="12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</row>
    <row r="961" ht="12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</row>
    <row r="962" ht="12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</row>
    <row r="963" ht="12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</row>
    <row r="964" ht="12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</row>
    <row r="965" ht="12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</row>
    <row r="966" ht="12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</row>
    <row r="967" ht="12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</row>
    <row r="968" ht="12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</row>
    <row r="969" ht="12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</row>
    <row r="970" ht="12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</row>
    <row r="971" ht="12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</row>
    <row r="972" ht="12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</row>
    <row r="973" ht="12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</row>
    <row r="974" ht="12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</row>
    <row r="975" ht="12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</row>
    <row r="976" ht="12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</row>
    <row r="977" ht="12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</row>
    <row r="978" ht="12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</row>
    <row r="979" ht="12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</row>
    <row r="980" ht="12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</row>
    <row r="981" ht="12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</row>
    <row r="982" ht="12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</row>
    <row r="983" ht="12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</row>
    <row r="984" ht="12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</row>
    <row r="985" ht="12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</row>
    <row r="986" ht="12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</row>
    <row r="987" ht="12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</row>
    <row r="988" ht="12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</row>
    <row r="989" ht="12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</row>
    <row r="990" ht="12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</row>
    <row r="991" ht="12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</row>
    <row r="992" ht="12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</row>
    <row r="993" ht="12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</row>
    <row r="994" ht="12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</row>
    <row r="995" ht="12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</row>
    <row r="996" ht="12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</row>
    <row r="997" ht="12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</row>
    <row r="998" ht="12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</row>
    <row r="999" ht="12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</row>
    <row r="1000" ht="12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</row>
    <row r="1001" ht="12.75" customHeight="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</row>
    <row r="1002" ht="12.75" customHeight="1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</row>
    <row r="1003" ht="12.75" customHeight="1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</row>
    <row r="1004" ht="12.75" customHeight="1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</row>
    <row r="1005" ht="12.75" customHeight="1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</row>
    <row r="1006" ht="12.75" customHeight="1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</row>
    <row r="1007" ht="12.75" customHeight="1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</row>
    <row r="1008" ht="12.75" customHeight="1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</row>
    <row r="1009" ht="12.75" customHeight="1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</row>
    <row r="1010" ht="12.75" customHeight="1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</row>
    <row r="1011" ht="12.75" customHeight="1">
      <c r="A1011" s="14"/>
      <c r="B1011" s="14"/>
      <c r="C1011" s="1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</row>
    <row r="1012" ht="12.75" customHeight="1">
      <c r="A1012" s="14"/>
      <c r="B1012" s="14"/>
      <c r="C1012" s="1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</row>
    <row r="1013" ht="12.75" customHeight="1">
      <c r="A1013" s="14"/>
      <c r="B1013" s="14"/>
      <c r="C1013" s="14"/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</row>
    <row r="1014" ht="12.75" customHeight="1">
      <c r="A1014" s="14"/>
      <c r="B1014" s="14"/>
      <c r="C1014" s="14"/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</row>
    <row r="1015" ht="12.75" customHeight="1">
      <c r="A1015" s="14"/>
      <c r="B1015" s="14"/>
      <c r="C1015" s="14"/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</row>
    <row r="1016" ht="12.75" customHeight="1">
      <c r="A1016" s="14"/>
      <c r="B1016" s="14"/>
      <c r="C1016" s="14"/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</row>
    <row r="1017" ht="12.75" customHeight="1">
      <c r="A1017" s="14"/>
      <c r="B1017" s="14"/>
      <c r="C1017" s="14"/>
      <c r="D1017" s="14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</row>
    <row r="1018" ht="12.75" customHeight="1">
      <c r="A1018" s="14"/>
      <c r="B1018" s="14"/>
      <c r="C1018" s="14"/>
      <c r="D1018" s="14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  <c r="AH1018" s="14"/>
      <c r="AI1018" s="14"/>
      <c r="AJ1018" s="14"/>
      <c r="AK1018" s="14"/>
    </row>
    <row r="1019" ht="12.75" customHeight="1">
      <c r="A1019" s="14"/>
      <c r="B1019" s="14"/>
      <c r="C1019" s="14"/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</row>
    <row r="1020" ht="12.75" customHeight="1">
      <c r="A1020" s="14"/>
      <c r="B1020" s="14"/>
      <c r="C1020" s="14"/>
      <c r="D1020" s="14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</row>
    <row r="1021" ht="12.75" customHeight="1">
      <c r="A1021" s="14"/>
      <c r="B1021" s="14"/>
      <c r="C1021" s="14"/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</row>
    <row r="1022" ht="12.75" customHeight="1">
      <c r="A1022" s="14"/>
      <c r="B1022" s="14"/>
      <c r="C1022" s="14"/>
      <c r="D1022" s="14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</row>
    <row r="1023" ht="12.75" customHeight="1">
      <c r="A1023" s="14"/>
      <c r="B1023" s="14"/>
      <c r="C1023" s="14"/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</row>
    <row r="1024" ht="12.75" customHeight="1">
      <c r="A1024" s="14"/>
      <c r="B1024" s="14"/>
      <c r="C1024" s="14"/>
      <c r="D1024" s="14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4"/>
      <c r="AK1024" s="14"/>
    </row>
    <row r="1025" ht="12.75" customHeight="1">
      <c r="A1025" s="14"/>
      <c r="B1025" s="14"/>
      <c r="C1025" s="14"/>
      <c r="D1025" s="14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4"/>
      <c r="AK1025" s="14"/>
    </row>
    <row r="1026" ht="12.75" customHeight="1">
      <c r="A1026" s="14"/>
      <c r="B1026" s="14"/>
      <c r="C1026" s="14"/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4"/>
      <c r="AK1026" s="14"/>
    </row>
    <row r="1027" ht="12.75" customHeight="1">
      <c r="A1027" s="14"/>
      <c r="B1027" s="14"/>
      <c r="C1027" s="14"/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</row>
    <row r="1028" ht="12.75" customHeight="1">
      <c r="A1028" s="14"/>
      <c r="B1028" s="14"/>
      <c r="C1028" s="14"/>
      <c r="D1028" s="14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</row>
    <row r="1029" ht="12.75" customHeight="1">
      <c r="A1029" s="14"/>
      <c r="B1029" s="14"/>
      <c r="C1029" s="14"/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</row>
    <row r="1030" ht="12.75" customHeight="1">
      <c r="A1030" s="14"/>
      <c r="B1030" s="14"/>
      <c r="C1030" s="14"/>
      <c r="D1030" s="14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4"/>
      <c r="AK1030" s="14"/>
    </row>
    <row r="1031" ht="12.75" customHeight="1">
      <c r="A1031" s="14"/>
      <c r="B1031" s="14"/>
      <c r="C1031" s="14"/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4"/>
      <c r="AK1031" s="14"/>
    </row>
    <row r="1032" ht="12.75" customHeight="1">
      <c r="A1032" s="14"/>
      <c r="B1032" s="14"/>
      <c r="C1032" s="14"/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</row>
    <row r="1033" ht="12.75" customHeight="1">
      <c r="A1033" s="14"/>
      <c r="B1033" s="14"/>
      <c r="C1033" s="14"/>
      <c r="D1033" s="14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4"/>
      <c r="AK1033" s="14"/>
    </row>
    <row r="1034" ht="12.75" customHeight="1">
      <c r="A1034" s="14"/>
      <c r="B1034" s="14"/>
      <c r="C1034" s="14"/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  <c r="AK1034" s="14"/>
    </row>
    <row r="1035" ht="12.75" customHeight="1">
      <c r="A1035" s="14"/>
      <c r="B1035" s="14"/>
      <c r="C1035" s="14"/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4"/>
      <c r="AK1035" s="14"/>
    </row>
    <row r="1036" ht="12.75" customHeight="1">
      <c r="A1036" s="14"/>
      <c r="B1036" s="14"/>
      <c r="C1036" s="14"/>
      <c r="D1036" s="14"/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  <c r="AK1036" s="14"/>
    </row>
    <row r="1037" ht="12.75" customHeight="1">
      <c r="A1037" s="14"/>
      <c r="B1037" s="14"/>
      <c r="C1037" s="14"/>
      <c r="D1037" s="14"/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4"/>
      <c r="AK1037" s="14"/>
    </row>
    <row r="1038" ht="12.75" customHeight="1">
      <c r="A1038" s="14"/>
      <c r="B1038" s="14"/>
      <c r="C1038" s="14"/>
      <c r="D1038" s="14"/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4"/>
      <c r="AK1038" s="14"/>
    </row>
    <row r="1039" ht="12.75" customHeight="1">
      <c r="A1039" s="14"/>
      <c r="B1039" s="14"/>
      <c r="C1039" s="14"/>
      <c r="D1039" s="14"/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</row>
    <row r="1040" ht="12.75" customHeight="1">
      <c r="A1040" s="14"/>
      <c r="B1040" s="14"/>
      <c r="C1040" s="14"/>
      <c r="D1040" s="14"/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</row>
    <row r="1041" ht="12.75" customHeight="1">
      <c r="A1041" s="14"/>
      <c r="B1041" s="14"/>
      <c r="C1041" s="14"/>
      <c r="D1041" s="14"/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</row>
    <row r="1042" ht="12.75" customHeight="1">
      <c r="A1042" s="14"/>
      <c r="B1042" s="14"/>
      <c r="C1042" s="14"/>
      <c r="D1042" s="14"/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</row>
    <row r="1043" ht="12.75" customHeight="1">
      <c r="A1043" s="14"/>
      <c r="B1043" s="14"/>
      <c r="C1043" s="14"/>
      <c r="D1043" s="14"/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  <c r="AK1043" s="14"/>
    </row>
    <row r="1044" ht="12.75" customHeight="1">
      <c r="A1044" s="14"/>
      <c r="B1044" s="14"/>
      <c r="C1044" s="14"/>
      <c r="D1044" s="14"/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</row>
    <row r="1045" ht="12.75" customHeight="1">
      <c r="A1045" s="14"/>
      <c r="B1045" s="14"/>
      <c r="C1045" s="14"/>
      <c r="D1045" s="14"/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</row>
    <row r="1046" ht="12.75" customHeight="1">
      <c r="A1046" s="14"/>
      <c r="B1046" s="14"/>
      <c r="C1046" s="14"/>
      <c r="D1046" s="14"/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</row>
    <row r="1047" ht="12.75" customHeight="1">
      <c r="A1047" s="14"/>
      <c r="B1047" s="14"/>
      <c r="C1047" s="14"/>
      <c r="D1047" s="14"/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4"/>
      <c r="AK1047" s="14"/>
    </row>
    <row r="1048" ht="12.75" customHeight="1">
      <c r="A1048" s="14"/>
      <c r="B1048" s="14"/>
      <c r="C1048" s="14"/>
      <c r="D1048" s="14"/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  <c r="AK1048" s="14"/>
    </row>
    <row r="1049" ht="12.75" customHeight="1">
      <c r="A1049" s="14"/>
      <c r="B1049" s="14"/>
      <c r="C1049" s="14"/>
      <c r="D1049" s="14"/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</row>
    <row r="1050" ht="12.75" customHeight="1">
      <c r="A1050" s="14"/>
      <c r="B1050" s="14"/>
      <c r="C1050" s="14"/>
      <c r="D1050" s="14"/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  <c r="AK1050" s="14"/>
    </row>
    <row r="1051" ht="12.75" customHeight="1">
      <c r="A1051" s="14"/>
      <c r="B1051" s="14"/>
      <c r="C1051" s="14"/>
      <c r="D1051" s="14"/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</row>
    <row r="1052" ht="12.75" customHeight="1">
      <c r="A1052" s="14"/>
      <c r="B1052" s="14"/>
      <c r="C1052" s="14"/>
      <c r="D1052" s="14"/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</row>
    <row r="1053" ht="12.75" customHeight="1">
      <c r="A1053" s="14"/>
      <c r="B1053" s="14"/>
      <c r="C1053" s="14"/>
      <c r="D1053" s="14"/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</row>
    <row r="1054" ht="12.75" customHeight="1">
      <c r="A1054" s="14"/>
      <c r="B1054" s="14"/>
      <c r="C1054" s="14"/>
      <c r="D1054" s="14"/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  <c r="AK1054" s="14"/>
    </row>
    <row r="1055" ht="12.75" customHeight="1">
      <c r="A1055" s="14"/>
      <c r="B1055" s="14"/>
      <c r="C1055" s="14"/>
      <c r="D1055" s="14"/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  <c r="AK1055" s="14"/>
    </row>
    <row r="1056" ht="12.75" customHeight="1">
      <c r="A1056" s="14"/>
      <c r="B1056" s="14"/>
      <c r="C1056" s="14"/>
      <c r="D1056" s="14"/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K1056" s="14"/>
    </row>
    <row r="1057" ht="12.75" customHeight="1">
      <c r="A1057" s="14"/>
      <c r="B1057" s="14"/>
      <c r="C1057" s="14"/>
      <c r="D1057" s="14"/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</row>
    <row r="1058" ht="12.75" customHeight="1">
      <c r="A1058" s="14"/>
      <c r="B1058" s="14"/>
      <c r="C1058" s="14"/>
      <c r="D1058" s="14"/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4"/>
      <c r="AK1058" s="14"/>
    </row>
    <row r="1059" ht="12.75" customHeight="1">
      <c r="A1059" s="14"/>
      <c r="B1059" s="14"/>
      <c r="C1059" s="14"/>
      <c r="D1059" s="14"/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4"/>
      <c r="AK1059" s="14"/>
    </row>
    <row r="1060" ht="12.75" customHeight="1">
      <c r="A1060" s="14"/>
      <c r="B1060" s="14"/>
      <c r="C1060" s="14"/>
      <c r="D1060" s="14"/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4"/>
      <c r="AK1060" s="14"/>
    </row>
    <row r="1061" ht="12.75" customHeight="1">
      <c r="A1061" s="14"/>
      <c r="B1061" s="14"/>
      <c r="C1061" s="14"/>
      <c r="D1061" s="14"/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  <c r="AB1061" s="14"/>
      <c r="AC1061" s="14"/>
      <c r="AD1061" s="14"/>
      <c r="AE1061" s="14"/>
      <c r="AF1061" s="14"/>
      <c r="AG1061" s="14"/>
      <c r="AH1061" s="14"/>
      <c r="AI1061" s="14"/>
      <c r="AJ1061" s="14"/>
      <c r="AK1061" s="14"/>
    </row>
    <row r="1062" ht="12.75" customHeight="1">
      <c r="A1062" s="14"/>
      <c r="B1062" s="14"/>
      <c r="C1062" s="14"/>
      <c r="D1062" s="14"/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4"/>
      <c r="AB1062" s="14"/>
      <c r="AC1062" s="14"/>
      <c r="AD1062" s="14"/>
      <c r="AE1062" s="14"/>
      <c r="AF1062" s="14"/>
      <c r="AG1062" s="14"/>
      <c r="AH1062" s="14"/>
      <c r="AI1062" s="14"/>
      <c r="AJ1062" s="14"/>
      <c r="AK1062" s="14"/>
    </row>
    <row r="1063" ht="12.75" customHeight="1">
      <c r="A1063" s="14"/>
      <c r="B1063" s="14"/>
      <c r="C1063" s="14"/>
      <c r="D1063" s="14"/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  <c r="AA1063" s="14"/>
      <c r="AB1063" s="14"/>
      <c r="AC1063" s="14"/>
      <c r="AD1063" s="14"/>
      <c r="AE1063" s="14"/>
      <c r="AF1063" s="14"/>
      <c r="AG1063" s="14"/>
      <c r="AH1063" s="14"/>
      <c r="AI1063" s="14"/>
      <c r="AJ1063" s="14"/>
      <c r="AK1063" s="14"/>
    </row>
    <row r="1064" ht="12.75" customHeight="1">
      <c r="A1064" s="14"/>
      <c r="B1064" s="14"/>
      <c r="C1064" s="14"/>
      <c r="D1064" s="14"/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  <c r="AA1064" s="14"/>
      <c r="AB1064" s="14"/>
      <c r="AC1064" s="14"/>
      <c r="AD1064" s="14"/>
      <c r="AE1064" s="14"/>
      <c r="AF1064" s="14"/>
      <c r="AG1064" s="14"/>
      <c r="AH1064" s="14"/>
      <c r="AI1064" s="14"/>
      <c r="AJ1064" s="14"/>
      <c r="AK1064" s="14"/>
    </row>
    <row r="1065" ht="12.75" customHeight="1">
      <c r="A1065" s="14"/>
      <c r="B1065" s="14"/>
      <c r="C1065" s="14"/>
      <c r="D1065" s="14"/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4"/>
      <c r="AB1065" s="14"/>
      <c r="AC1065" s="14"/>
      <c r="AD1065" s="14"/>
      <c r="AE1065" s="14"/>
      <c r="AF1065" s="14"/>
      <c r="AG1065" s="14"/>
      <c r="AH1065" s="14"/>
      <c r="AI1065" s="14"/>
      <c r="AJ1065" s="14"/>
      <c r="AK1065" s="14"/>
    </row>
    <row r="1066" ht="12.75" customHeight="1">
      <c r="A1066" s="14"/>
      <c r="B1066" s="14"/>
      <c r="C1066" s="14"/>
      <c r="D1066" s="14"/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4"/>
      <c r="AK1066" s="14"/>
    </row>
    <row r="1067" ht="12.75" customHeight="1">
      <c r="A1067" s="14"/>
      <c r="B1067" s="14"/>
      <c r="C1067" s="14"/>
      <c r="D1067" s="14"/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  <c r="AH1067" s="14"/>
      <c r="AI1067" s="14"/>
      <c r="AJ1067" s="14"/>
      <c r="AK1067" s="14"/>
    </row>
    <row r="1068" ht="12.75" customHeight="1">
      <c r="A1068" s="14"/>
      <c r="B1068" s="14"/>
      <c r="C1068" s="14"/>
      <c r="D1068" s="14"/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  <c r="AH1068" s="14"/>
      <c r="AI1068" s="14"/>
      <c r="AJ1068" s="14"/>
      <c r="AK1068" s="14"/>
    </row>
    <row r="1069" ht="12.75" customHeight="1">
      <c r="A1069" s="14"/>
      <c r="B1069" s="14"/>
      <c r="C1069" s="14"/>
      <c r="D1069" s="14"/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  <c r="AA1069" s="14"/>
      <c r="AB1069" s="14"/>
      <c r="AC1069" s="14"/>
      <c r="AD1069" s="14"/>
      <c r="AE1069" s="14"/>
      <c r="AF1069" s="14"/>
      <c r="AG1069" s="14"/>
      <c r="AH1069" s="14"/>
      <c r="AI1069" s="14"/>
      <c r="AJ1069" s="14"/>
      <c r="AK1069" s="14"/>
    </row>
    <row r="1070" ht="12.75" customHeight="1">
      <c r="A1070" s="14"/>
      <c r="B1070" s="14"/>
      <c r="C1070" s="14"/>
      <c r="D1070" s="14"/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  <c r="AH1070" s="14"/>
      <c r="AI1070" s="14"/>
      <c r="AJ1070" s="14"/>
      <c r="AK1070" s="14"/>
    </row>
    <row r="1071" ht="12.75" customHeight="1">
      <c r="A1071" s="14"/>
      <c r="B1071" s="14"/>
      <c r="C1071" s="14"/>
      <c r="D1071" s="14"/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14"/>
      <c r="AC1071" s="14"/>
      <c r="AD1071" s="14"/>
      <c r="AE1071" s="14"/>
      <c r="AF1071" s="14"/>
      <c r="AG1071" s="14"/>
      <c r="AH1071" s="14"/>
      <c r="AI1071" s="14"/>
      <c r="AJ1071" s="14"/>
      <c r="AK1071" s="14"/>
    </row>
    <row r="1072" ht="12.75" customHeight="1">
      <c r="A1072" s="14"/>
      <c r="B1072" s="14"/>
      <c r="C1072" s="14"/>
      <c r="D1072" s="14"/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  <c r="AH1072" s="14"/>
      <c r="AI1072" s="14"/>
      <c r="AJ1072" s="14"/>
      <c r="AK1072" s="14"/>
    </row>
    <row r="1073" ht="12.75" customHeight="1">
      <c r="A1073" s="14"/>
      <c r="B1073" s="14"/>
      <c r="C1073" s="14"/>
      <c r="D1073" s="14"/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  <c r="AA1073" s="14"/>
      <c r="AB1073" s="14"/>
      <c r="AC1073" s="14"/>
      <c r="AD1073" s="14"/>
      <c r="AE1073" s="14"/>
      <c r="AF1073" s="14"/>
      <c r="AG1073" s="14"/>
      <c r="AH1073" s="14"/>
      <c r="AI1073" s="14"/>
      <c r="AJ1073" s="14"/>
      <c r="AK1073" s="14"/>
    </row>
    <row r="1074" ht="12.75" customHeight="1">
      <c r="A1074" s="14"/>
      <c r="B1074" s="14"/>
      <c r="C1074" s="14"/>
      <c r="D1074" s="14"/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  <c r="AH1074" s="14"/>
      <c r="AI1074" s="14"/>
      <c r="AJ1074" s="14"/>
      <c r="AK1074" s="14"/>
    </row>
    <row r="1075" ht="12.75" customHeight="1">
      <c r="A1075" s="14"/>
      <c r="B1075" s="14"/>
      <c r="C1075" s="14"/>
      <c r="D1075" s="14"/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  <c r="AH1075" s="14"/>
      <c r="AI1075" s="14"/>
      <c r="AJ1075" s="14"/>
      <c r="AK1075" s="14"/>
    </row>
    <row r="1076" ht="12.75" customHeight="1">
      <c r="A1076" s="14"/>
      <c r="B1076" s="14"/>
      <c r="C1076" s="14"/>
      <c r="D1076" s="14"/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4"/>
      <c r="AD1076" s="14"/>
      <c r="AE1076" s="14"/>
      <c r="AF1076" s="14"/>
      <c r="AG1076" s="14"/>
      <c r="AH1076" s="14"/>
      <c r="AI1076" s="14"/>
      <c r="AJ1076" s="14"/>
      <c r="AK1076" s="14"/>
    </row>
    <row r="1077" ht="12.75" customHeight="1">
      <c r="A1077" s="14"/>
      <c r="B1077" s="14"/>
      <c r="C1077" s="14"/>
      <c r="D1077" s="14"/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  <c r="AA1077" s="14"/>
      <c r="AB1077" s="14"/>
      <c r="AC1077" s="14"/>
      <c r="AD1077" s="14"/>
      <c r="AE1077" s="14"/>
      <c r="AF1077" s="14"/>
      <c r="AG1077" s="14"/>
      <c r="AH1077" s="14"/>
      <c r="AI1077" s="14"/>
      <c r="AJ1077" s="14"/>
      <c r="AK1077" s="14"/>
    </row>
    <row r="1078" ht="12.75" customHeight="1">
      <c r="A1078" s="14"/>
      <c r="B1078" s="14"/>
      <c r="C1078" s="14"/>
      <c r="D1078" s="14"/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  <c r="AA1078" s="14"/>
      <c r="AB1078" s="14"/>
      <c r="AC1078" s="14"/>
      <c r="AD1078" s="14"/>
      <c r="AE1078" s="14"/>
      <c r="AF1078" s="14"/>
      <c r="AG1078" s="14"/>
      <c r="AH1078" s="14"/>
      <c r="AI1078" s="14"/>
      <c r="AJ1078" s="14"/>
      <c r="AK1078" s="14"/>
    </row>
  </sheetData>
  <mergeCells count="23">
    <mergeCell ref="T27:T28"/>
    <mergeCell ref="T34:T35"/>
    <mergeCell ref="T41:T42"/>
    <mergeCell ref="T48:T49"/>
    <mergeCell ref="T55:T56"/>
    <mergeCell ref="T62:T63"/>
    <mergeCell ref="T69:T70"/>
    <mergeCell ref="C1:D1"/>
    <mergeCell ref="S2:Y2"/>
    <mergeCell ref="S3:Y3"/>
    <mergeCell ref="S5:Z5"/>
    <mergeCell ref="T13:T14"/>
    <mergeCell ref="B18:I18"/>
    <mergeCell ref="T20:T21"/>
    <mergeCell ref="A63:A64"/>
    <mergeCell ref="A70:A71"/>
    <mergeCell ref="A13:A14"/>
    <mergeCell ref="A21:A22"/>
    <mergeCell ref="A28:A29"/>
    <mergeCell ref="A35:A36"/>
    <mergeCell ref="A42:A43"/>
    <mergeCell ref="A49:A50"/>
    <mergeCell ref="A56:A57"/>
  </mergeCells>
  <conditionalFormatting sqref="R1:R74 AK10:AK73 R138:R1078">
    <cfRule type="cellIs" dxfId="0" priority="1" operator="greaterThan">
      <formula>0.5</formula>
    </cfRule>
  </conditionalFormatting>
  <conditionalFormatting sqref="R1:R74 AK10:AK73 R138:R1078">
    <cfRule type="cellIs" dxfId="1" priority="2" operator="lessThan">
      <formula>-0.75</formula>
    </cfRule>
  </conditionalFormatting>
  <drawing r:id="rId1"/>
</worksheet>
</file>